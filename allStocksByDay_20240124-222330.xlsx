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bengoa/Documents/GitHub/stock_market/stock-mock-api/"/>
    </mc:Choice>
  </mc:AlternateContent>
  <xr:revisionPtr revIDLastSave="0" documentId="8_{88319CFE-6630-C14F-9F01-01C7620D6F5D}" xr6:coauthVersionLast="47" xr6:coauthVersionMax="47" xr10:uidLastSave="{00000000-0000-0000-0000-000000000000}"/>
  <bookViews>
    <workbookView xWindow="3720" yWindow="1800" windowWidth="29500" windowHeight="17440"/>
  </bookViews>
  <sheets>
    <sheet name="allStocksByDay_20240124-222330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R18" i="1" s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R67" i="1" s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R146" i="1" s="1"/>
  <c r="Q147" i="1"/>
  <c r="Q148" i="1"/>
  <c r="Q149" i="1"/>
  <c r="Q150" i="1"/>
  <c r="Q151" i="1"/>
  <c r="Q152" i="1"/>
  <c r="Q153" i="1"/>
  <c r="Q154" i="1"/>
  <c r="Q155" i="1"/>
  <c r="Q156" i="1"/>
  <c r="Q157" i="1"/>
  <c r="Q158" i="1"/>
  <c r="R158" i="1" s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R260" i="1" s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R358" i="1" s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R417" i="1" s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R446" i="1" s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R588" i="1" s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R798" i="1" s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3" i="1"/>
  <c r="H16" i="2"/>
  <c r="F16" i="2"/>
  <c r="G16" i="2" s="1"/>
  <c r="I16" i="2" s="1"/>
  <c r="I15" i="2"/>
  <c r="H15" i="2"/>
  <c r="G15" i="2"/>
  <c r="G8" i="2"/>
  <c r="H8" i="2"/>
  <c r="H9" i="2" s="1"/>
  <c r="I8" i="2"/>
  <c r="F9" i="2"/>
  <c r="G9" i="2" s="1"/>
  <c r="F10" i="2"/>
  <c r="F11" i="2"/>
  <c r="F12" i="2"/>
  <c r="F15" i="2"/>
  <c r="F8" i="2"/>
  <c r="H1" i="1"/>
  <c r="R17" i="1"/>
  <c r="R174" i="1"/>
  <c r="R66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R19" i="1" s="1"/>
  <c r="P20" i="1"/>
  <c r="P21" i="1"/>
  <c r="R21" i="1" s="1"/>
  <c r="P22" i="1"/>
  <c r="P23" i="1"/>
  <c r="P24" i="1"/>
  <c r="R24" i="1" s="1"/>
  <c r="P25" i="1"/>
  <c r="R25" i="1" s="1"/>
  <c r="P26" i="1"/>
  <c r="P27" i="1"/>
  <c r="P28" i="1"/>
  <c r="P29" i="1"/>
  <c r="R29" i="1" s="1"/>
  <c r="P30" i="1"/>
  <c r="P31" i="1"/>
  <c r="P32" i="1"/>
  <c r="P33" i="1"/>
  <c r="P34" i="1"/>
  <c r="P35" i="1"/>
  <c r="P36" i="1"/>
  <c r="P37" i="1"/>
  <c r="P38" i="1"/>
  <c r="P39" i="1"/>
  <c r="R39" i="1" s="1"/>
  <c r="P40" i="1"/>
  <c r="P41" i="1"/>
  <c r="R41" i="1" s="1"/>
  <c r="P42" i="1"/>
  <c r="P43" i="1"/>
  <c r="P44" i="1"/>
  <c r="R44" i="1" s="1"/>
  <c r="P45" i="1"/>
  <c r="R45" i="1" s="1"/>
  <c r="P46" i="1"/>
  <c r="P47" i="1"/>
  <c r="P48" i="1"/>
  <c r="P49" i="1"/>
  <c r="R49" i="1" s="1"/>
  <c r="P50" i="1"/>
  <c r="P51" i="1"/>
  <c r="R51" i="1" s="1"/>
  <c r="P52" i="1"/>
  <c r="P53" i="1"/>
  <c r="P54" i="1"/>
  <c r="R54" i="1" s="1"/>
  <c r="P55" i="1"/>
  <c r="R55" i="1" s="1"/>
  <c r="P56" i="1"/>
  <c r="P57" i="1"/>
  <c r="P58" i="1"/>
  <c r="P59" i="1"/>
  <c r="R59" i="1" s="1"/>
  <c r="P60" i="1"/>
  <c r="P61" i="1"/>
  <c r="R61" i="1" s="1"/>
  <c r="P62" i="1"/>
  <c r="P63" i="1"/>
  <c r="P64" i="1"/>
  <c r="R64" i="1" s="1"/>
  <c r="P65" i="1"/>
  <c r="R65" i="1" s="1"/>
  <c r="P66" i="1"/>
  <c r="P67" i="1"/>
  <c r="P68" i="1"/>
  <c r="P69" i="1"/>
  <c r="R69" i="1" s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R109" i="1" s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R141" i="1" s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R154" i="1" s="1"/>
  <c r="P155" i="1"/>
  <c r="R155" i="1" s="1"/>
  <c r="P156" i="1"/>
  <c r="P157" i="1"/>
  <c r="P158" i="1"/>
  <c r="P159" i="1"/>
  <c r="P160" i="1"/>
  <c r="P161" i="1"/>
  <c r="P162" i="1"/>
  <c r="P163" i="1"/>
  <c r="P164" i="1"/>
  <c r="R164" i="1" s="1"/>
  <c r="P165" i="1"/>
  <c r="R165" i="1" s="1"/>
  <c r="P166" i="1"/>
  <c r="P167" i="1"/>
  <c r="P168" i="1"/>
  <c r="P169" i="1"/>
  <c r="P170" i="1"/>
  <c r="P171" i="1"/>
  <c r="P172" i="1"/>
  <c r="P173" i="1"/>
  <c r="P174" i="1"/>
  <c r="P175" i="1"/>
  <c r="R175" i="1" s="1"/>
  <c r="P176" i="1"/>
  <c r="P177" i="1"/>
  <c r="P178" i="1"/>
  <c r="P179" i="1"/>
  <c r="P180" i="1"/>
  <c r="P181" i="1"/>
  <c r="P182" i="1"/>
  <c r="P183" i="1"/>
  <c r="P184" i="1"/>
  <c r="R184" i="1" s="1"/>
  <c r="P185" i="1"/>
  <c r="R185" i="1" s="1"/>
  <c r="P186" i="1"/>
  <c r="P187" i="1"/>
  <c r="P188" i="1"/>
  <c r="P189" i="1"/>
  <c r="P190" i="1"/>
  <c r="P191" i="1"/>
  <c r="P192" i="1"/>
  <c r="P193" i="1"/>
  <c r="P194" i="1"/>
  <c r="R194" i="1" s="1"/>
  <c r="P195" i="1"/>
  <c r="R195" i="1" s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R234" i="1" s="1"/>
  <c r="P235" i="1"/>
  <c r="R235" i="1" s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R254" i="1" s="1"/>
  <c r="P255" i="1"/>
  <c r="R255" i="1" s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R284" i="1" s="1"/>
  <c r="P285" i="1"/>
  <c r="P286" i="1"/>
  <c r="P287" i="1"/>
  <c r="P288" i="1"/>
  <c r="P289" i="1"/>
  <c r="P290" i="1"/>
  <c r="P291" i="1"/>
  <c r="P292" i="1"/>
  <c r="P293" i="1"/>
  <c r="P294" i="1"/>
  <c r="P295" i="1"/>
  <c r="R295" i="1" s="1"/>
  <c r="P296" i="1"/>
  <c r="P297" i="1"/>
  <c r="P298" i="1"/>
  <c r="P299" i="1"/>
  <c r="P300" i="1"/>
  <c r="P301" i="1"/>
  <c r="P302" i="1"/>
  <c r="P303" i="1"/>
  <c r="P304" i="1"/>
  <c r="R304" i="1" s="1"/>
  <c r="P305" i="1"/>
  <c r="R305" i="1" s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R354" i="1" s="1"/>
  <c r="P355" i="1"/>
  <c r="R355" i="1" s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R384" i="1" s="1"/>
  <c r="P385" i="1"/>
  <c r="R385" i="1" s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R414" i="1" s="1"/>
  <c r="P415" i="1"/>
  <c r="R415" i="1" s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R464" i="1" s="1"/>
  <c r="P465" i="1"/>
  <c r="R465" i="1" s="1"/>
  <c r="P466" i="1"/>
  <c r="P467" i="1"/>
  <c r="P468" i="1"/>
  <c r="P469" i="1"/>
  <c r="P470" i="1"/>
  <c r="P471" i="1"/>
  <c r="P472" i="1"/>
  <c r="P473" i="1"/>
  <c r="P474" i="1"/>
  <c r="R474" i="1" s="1"/>
  <c r="P475" i="1"/>
  <c r="R475" i="1" s="1"/>
  <c r="P476" i="1"/>
  <c r="P477" i="1"/>
  <c r="P478" i="1"/>
  <c r="P479" i="1"/>
  <c r="P480" i="1"/>
  <c r="P481" i="1"/>
  <c r="P482" i="1"/>
  <c r="P483" i="1"/>
  <c r="P484" i="1"/>
  <c r="R484" i="1" s="1"/>
  <c r="P485" i="1"/>
  <c r="R485" i="1" s="1"/>
  <c r="P486" i="1"/>
  <c r="P487" i="1"/>
  <c r="P488" i="1"/>
  <c r="P489" i="1"/>
  <c r="P490" i="1"/>
  <c r="P491" i="1"/>
  <c r="P492" i="1"/>
  <c r="P493" i="1"/>
  <c r="P494" i="1"/>
  <c r="R494" i="1" s="1"/>
  <c r="P495" i="1"/>
  <c r="R495" i="1" s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R514" i="1" s="1"/>
  <c r="P515" i="1"/>
  <c r="R515" i="1" s="1"/>
  <c r="P516" i="1"/>
  <c r="P517" i="1"/>
  <c r="P518" i="1"/>
  <c r="P519" i="1"/>
  <c r="P520" i="1"/>
  <c r="P521" i="1"/>
  <c r="P522" i="1"/>
  <c r="P523" i="1"/>
  <c r="P524" i="1"/>
  <c r="R524" i="1" s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R544" i="1" s="1"/>
  <c r="P545" i="1"/>
  <c r="R545" i="1" s="1"/>
  <c r="P546" i="1"/>
  <c r="P547" i="1"/>
  <c r="P548" i="1"/>
  <c r="P549" i="1"/>
  <c r="P550" i="1"/>
  <c r="P551" i="1"/>
  <c r="P552" i="1"/>
  <c r="P553" i="1"/>
  <c r="P554" i="1"/>
  <c r="P555" i="1"/>
  <c r="R555" i="1" s="1"/>
  <c r="P556" i="1"/>
  <c r="P557" i="1"/>
  <c r="P558" i="1"/>
  <c r="P559" i="1"/>
  <c r="P560" i="1"/>
  <c r="P561" i="1"/>
  <c r="P562" i="1"/>
  <c r="P563" i="1"/>
  <c r="P564" i="1"/>
  <c r="R564" i="1" s="1"/>
  <c r="P565" i="1"/>
  <c r="R565" i="1" s="1"/>
  <c r="P566" i="1"/>
  <c r="P567" i="1"/>
  <c r="P568" i="1"/>
  <c r="P569" i="1"/>
  <c r="P570" i="1"/>
  <c r="P571" i="1"/>
  <c r="P572" i="1"/>
  <c r="P573" i="1"/>
  <c r="P574" i="1"/>
  <c r="R574" i="1" s="1"/>
  <c r="P575" i="1"/>
  <c r="R575" i="1" s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R605" i="1" s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R644" i="1" s="1"/>
  <c r="P645" i="1"/>
  <c r="P646" i="1"/>
  <c r="P647" i="1"/>
  <c r="P648" i="1"/>
  <c r="P649" i="1"/>
  <c r="P650" i="1"/>
  <c r="P651" i="1"/>
  <c r="P652" i="1"/>
  <c r="P653" i="1"/>
  <c r="P654" i="1"/>
  <c r="R654" i="1" s="1"/>
  <c r="P655" i="1"/>
  <c r="R655" i="1" s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R714" i="1" s="1"/>
  <c r="P715" i="1"/>
  <c r="R715" i="1" s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R765" i="1" s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R804" i="1" s="1"/>
  <c r="P805" i="1"/>
  <c r="R805" i="1" s="1"/>
  <c r="P806" i="1"/>
  <c r="P807" i="1"/>
  <c r="P808" i="1"/>
  <c r="P809" i="1"/>
  <c r="P810" i="1"/>
  <c r="P811" i="1"/>
  <c r="P812" i="1"/>
  <c r="P813" i="1"/>
  <c r="P814" i="1"/>
  <c r="P815" i="1"/>
  <c r="O4" i="1"/>
  <c r="R4" i="1" s="1"/>
  <c r="O5" i="1"/>
  <c r="R5" i="1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R35" i="1" s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R85" i="1" s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R145" i="1" s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R204" i="1" s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R245" i="1" s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R274" i="1" s="1"/>
  <c r="O275" i="1"/>
  <c r="R275" i="1" s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R345" i="1" s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R374" i="1" s="1"/>
  <c r="O375" i="1"/>
  <c r="R375" i="1" s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R404" i="1" s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R445" i="1" s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R525" i="1" s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R614" i="1" s="1"/>
  <c r="O615" i="1"/>
  <c r="O616" i="1"/>
  <c r="O617" i="1"/>
  <c r="O618" i="1"/>
  <c r="O619" i="1"/>
  <c r="O620" i="1"/>
  <c r="O621" i="1"/>
  <c r="O622" i="1"/>
  <c r="O623" i="1"/>
  <c r="O624" i="1"/>
  <c r="O625" i="1"/>
  <c r="R625" i="1" s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R675" i="1" s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R744" i="1" s="1"/>
  <c r="O745" i="1"/>
  <c r="O746" i="1"/>
  <c r="O747" i="1"/>
  <c r="O748" i="1"/>
  <c r="O749" i="1"/>
  <c r="O750" i="1"/>
  <c r="O751" i="1"/>
  <c r="O752" i="1"/>
  <c r="O753" i="1"/>
  <c r="O754" i="1"/>
  <c r="R754" i="1" s="1"/>
  <c r="O755" i="1"/>
  <c r="R755" i="1" s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P3" i="1"/>
  <c r="O3" i="1"/>
  <c r="R258" i="1" l="1"/>
  <c r="R249" i="1"/>
  <c r="R229" i="1"/>
  <c r="R199" i="1"/>
  <c r="R189" i="1"/>
  <c r="R179" i="1"/>
  <c r="R169" i="1"/>
  <c r="R159" i="1"/>
  <c r="R149" i="1"/>
  <c r="R119" i="1"/>
  <c r="R248" i="1"/>
  <c r="R228" i="1"/>
  <c r="R198" i="1"/>
  <c r="R188" i="1"/>
  <c r="R178" i="1"/>
  <c r="R168" i="1"/>
  <c r="R148" i="1"/>
  <c r="R108" i="1"/>
  <c r="R78" i="1"/>
  <c r="R68" i="1"/>
  <c r="R58" i="1"/>
  <c r="R48" i="1"/>
  <c r="R38" i="1"/>
  <c r="R28" i="1"/>
  <c r="R799" i="1"/>
  <c r="R699" i="1"/>
  <c r="R649" i="1"/>
  <c r="R599" i="1"/>
  <c r="R499" i="1"/>
  <c r="R698" i="1"/>
  <c r="R688" i="1"/>
  <c r="R638" i="1"/>
  <c r="R806" i="1"/>
  <c r="R766" i="1"/>
  <c r="R756" i="1"/>
  <c r="R716" i="1"/>
  <c r="R656" i="1"/>
  <c r="R606" i="1"/>
  <c r="R566" i="1"/>
  <c r="R556" i="1"/>
  <c r="R546" i="1"/>
  <c r="R536" i="1"/>
  <c r="R516" i="1"/>
  <c r="R486" i="1"/>
  <c r="R476" i="1"/>
  <c r="R466" i="1"/>
  <c r="R386" i="1"/>
  <c r="R366" i="1"/>
  <c r="R356" i="1"/>
  <c r="R306" i="1"/>
  <c r="R296" i="1"/>
  <c r="R286" i="1"/>
  <c r="R256" i="1"/>
  <c r="R236" i="1"/>
  <c r="R226" i="1"/>
  <c r="R196" i="1"/>
  <c r="R186" i="1"/>
  <c r="R176" i="1"/>
  <c r="R166" i="1"/>
  <c r="R156" i="1"/>
  <c r="R66" i="1"/>
  <c r="R56" i="1"/>
  <c r="R46" i="1"/>
  <c r="R26" i="1"/>
  <c r="R16" i="1"/>
  <c r="R563" i="1"/>
  <c r="R543" i="1"/>
  <c r="R523" i="1"/>
  <c r="R513" i="1"/>
  <c r="R493" i="1"/>
  <c r="R483" i="1"/>
  <c r="R473" i="1"/>
  <c r="R463" i="1"/>
  <c r="R423" i="1"/>
  <c r="R413" i="1"/>
  <c r="R383" i="1"/>
  <c r="R353" i="1"/>
  <c r="R303" i="1"/>
  <c r="R283" i="1"/>
  <c r="R253" i="1"/>
  <c r="R233" i="1"/>
  <c r="R193" i="1"/>
  <c r="R183" i="1"/>
  <c r="R173" i="1"/>
  <c r="R163" i="1"/>
  <c r="R153" i="1"/>
  <c r="R143" i="1"/>
  <c r="R93" i="1"/>
  <c r="R63" i="1"/>
  <c r="R53" i="1"/>
  <c r="R43" i="1"/>
  <c r="R23" i="1"/>
  <c r="R776" i="1"/>
  <c r="R676" i="1"/>
  <c r="R626" i="1"/>
  <c r="R576" i="1"/>
  <c r="R526" i="1"/>
  <c r="R416" i="1"/>
  <c r="R346" i="1"/>
  <c r="R316" i="1"/>
  <c r="R246" i="1"/>
  <c r="R216" i="1"/>
  <c r="R116" i="1"/>
  <c r="R86" i="1"/>
  <c r="R36" i="1"/>
  <c r="R160" i="1"/>
  <c r="R771" i="1"/>
  <c r="R761" i="1"/>
  <c r="R711" i="1"/>
  <c r="R651" i="1"/>
  <c r="R641" i="1"/>
  <c r="R631" i="1"/>
  <c r="R571" i="1"/>
  <c r="R561" i="1"/>
  <c r="R541" i="1"/>
  <c r="R521" i="1"/>
  <c r="R511" i="1"/>
  <c r="R491" i="1"/>
  <c r="R471" i="1"/>
  <c r="R461" i="1"/>
  <c r="R451" i="1"/>
  <c r="R421" i="1"/>
  <c r="R411" i="1"/>
  <c r="R371" i="1"/>
  <c r="R361" i="1"/>
  <c r="R351" i="1"/>
  <c r="R311" i="1"/>
  <c r="R301" i="1"/>
  <c r="R281" i="1"/>
  <c r="R251" i="1"/>
  <c r="R231" i="1"/>
  <c r="R191" i="1"/>
  <c r="R181" i="1"/>
  <c r="R171" i="1"/>
  <c r="R161" i="1"/>
  <c r="R151" i="1"/>
  <c r="R770" i="1"/>
  <c r="R760" i="1"/>
  <c r="R740" i="1"/>
  <c r="R710" i="1"/>
  <c r="R650" i="1"/>
  <c r="R640" i="1"/>
  <c r="R630" i="1"/>
  <c r="R570" i="1"/>
  <c r="R560" i="1"/>
  <c r="R550" i="1"/>
  <c r="R540" i="1"/>
  <c r="R520" i="1"/>
  <c r="R510" i="1"/>
  <c r="R490" i="1"/>
  <c r="R470" i="1"/>
  <c r="R460" i="1"/>
  <c r="R450" i="1"/>
  <c r="R420" i="1"/>
  <c r="R410" i="1"/>
  <c r="R370" i="1"/>
  <c r="R360" i="1"/>
  <c r="R350" i="1"/>
  <c r="R310" i="1"/>
  <c r="R300" i="1"/>
  <c r="R290" i="1"/>
  <c r="R280" i="1"/>
  <c r="R250" i="1"/>
  <c r="R230" i="1"/>
  <c r="R190" i="1"/>
  <c r="R180" i="1"/>
  <c r="R170" i="1"/>
  <c r="R150" i="1"/>
  <c r="R120" i="1"/>
  <c r="R110" i="1"/>
  <c r="R60" i="1"/>
  <c r="R50" i="1"/>
  <c r="R40" i="1"/>
  <c r="R20" i="1"/>
  <c r="R777" i="1"/>
  <c r="R687" i="1"/>
  <c r="R637" i="1"/>
  <c r="R587" i="1"/>
  <c r="R317" i="1"/>
  <c r="R217" i="1"/>
  <c r="R117" i="1"/>
  <c r="R809" i="1"/>
  <c r="R769" i="1"/>
  <c r="R759" i="1"/>
  <c r="R739" i="1"/>
  <c r="R709" i="1"/>
  <c r="R629" i="1"/>
  <c r="R609" i="1"/>
  <c r="R569" i="1"/>
  <c r="R559" i="1"/>
  <c r="R549" i="1"/>
  <c r="R539" i="1"/>
  <c r="R519" i="1"/>
  <c r="R509" i="1"/>
  <c r="R489" i="1"/>
  <c r="R469" i="1"/>
  <c r="R459" i="1"/>
  <c r="R419" i="1"/>
  <c r="R409" i="1"/>
  <c r="R389" i="1"/>
  <c r="R369" i="1"/>
  <c r="R359" i="1"/>
  <c r="R309" i="1"/>
  <c r="R299" i="1"/>
  <c r="R289" i="1"/>
  <c r="R279" i="1"/>
  <c r="R308" i="1"/>
  <c r="R298" i="1"/>
  <c r="R288" i="1"/>
  <c r="R307" i="1"/>
  <c r="R297" i="1"/>
  <c r="R287" i="1"/>
  <c r="R257" i="1"/>
  <c r="R247" i="1"/>
  <c r="R237" i="1"/>
  <c r="R227" i="1"/>
  <c r="R197" i="1"/>
  <c r="R187" i="1"/>
  <c r="R177" i="1"/>
  <c r="R167" i="1"/>
  <c r="R157" i="1"/>
  <c r="R147" i="1"/>
  <c r="R57" i="1"/>
  <c r="R47" i="1"/>
  <c r="R37" i="1"/>
  <c r="R27" i="1"/>
  <c r="R808" i="1"/>
  <c r="R788" i="1"/>
  <c r="R768" i="1"/>
  <c r="R758" i="1"/>
  <c r="R738" i="1"/>
  <c r="R718" i="1"/>
  <c r="R708" i="1"/>
  <c r="R658" i="1"/>
  <c r="R608" i="1"/>
  <c r="R568" i="1"/>
  <c r="R558" i="1"/>
  <c r="R548" i="1"/>
  <c r="R538" i="1"/>
  <c r="R518" i="1"/>
  <c r="R508" i="1"/>
  <c r="R488" i="1"/>
  <c r="R468" i="1"/>
  <c r="R458" i="1"/>
  <c r="R428" i="1"/>
  <c r="R418" i="1"/>
  <c r="R408" i="1"/>
  <c r="R388" i="1"/>
  <c r="R368" i="1"/>
  <c r="R807" i="1"/>
  <c r="R787" i="1"/>
  <c r="R767" i="1"/>
  <c r="R757" i="1"/>
  <c r="R717" i="1"/>
  <c r="R657" i="1"/>
  <c r="R607" i="1"/>
  <c r="R567" i="1"/>
  <c r="R557" i="1"/>
  <c r="R547" i="1"/>
  <c r="R537" i="1"/>
  <c r="R517" i="1"/>
  <c r="R487" i="1"/>
  <c r="R467" i="1"/>
  <c r="R457" i="1"/>
  <c r="R407" i="1"/>
  <c r="R387" i="1"/>
  <c r="R367" i="1"/>
  <c r="R357" i="1"/>
  <c r="R810" i="1"/>
  <c r="R600" i="1"/>
  <c r="R500" i="1"/>
  <c r="R802" i="1"/>
  <c r="R772" i="1"/>
  <c r="R762" i="1"/>
  <c r="R712" i="1"/>
  <c r="R652" i="1"/>
  <c r="R642" i="1"/>
  <c r="R572" i="1"/>
  <c r="R562" i="1"/>
  <c r="R542" i="1"/>
  <c r="R522" i="1"/>
  <c r="R512" i="1"/>
  <c r="R492" i="1"/>
  <c r="R482" i="1"/>
  <c r="R472" i="1"/>
  <c r="R462" i="1"/>
  <c r="R422" i="1"/>
  <c r="R412" i="1"/>
  <c r="R402" i="1"/>
  <c r="R382" i="1"/>
  <c r="R372" i="1"/>
  <c r="R352" i="1"/>
  <c r="R302" i="1"/>
  <c r="R282" i="1"/>
  <c r="R252" i="1"/>
  <c r="R232" i="1"/>
  <c r="R192" i="1"/>
  <c r="R182" i="1"/>
  <c r="R172" i="1"/>
  <c r="R162" i="1"/>
  <c r="R152" i="1"/>
  <c r="R142" i="1"/>
  <c r="R92" i="1"/>
  <c r="R62" i="1"/>
  <c r="R52" i="1"/>
  <c r="R42" i="1"/>
  <c r="R22" i="1"/>
  <c r="R742" i="1"/>
  <c r="R732" i="1"/>
  <c r="R803" i="1"/>
  <c r="R773" i="1"/>
  <c r="R713" i="1"/>
  <c r="R653" i="1"/>
  <c r="R643" i="1"/>
  <c r="R815" i="1"/>
  <c r="R785" i="1"/>
  <c r="R745" i="1"/>
  <c r="R735" i="1"/>
  <c r="R725" i="1"/>
  <c r="R705" i="1"/>
  <c r="R695" i="1"/>
  <c r="R685" i="1"/>
  <c r="R665" i="1"/>
  <c r="R775" i="1"/>
  <c r="R795" i="1"/>
  <c r="R645" i="1"/>
  <c r="R635" i="1"/>
  <c r="R615" i="1"/>
  <c r="R595" i="1"/>
  <c r="R585" i="1"/>
  <c r="R535" i="1"/>
  <c r="R505" i="1"/>
  <c r="R455" i="1"/>
  <c r="R435" i="1"/>
  <c r="R425" i="1"/>
  <c r="R405" i="1"/>
  <c r="R395" i="1"/>
  <c r="R365" i="1"/>
  <c r="R335" i="1"/>
  <c r="R325" i="1"/>
  <c r="R315" i="1"/>
  <c r="R285" i="1"/>
  <c r="R265" i="1"/>
  <c r="R225" i="1"/>
  <c r="R215" i="1"/>
  <c r="R205" i="1"/>
  <c r="R135" i="1"/>
  <c r="R125" i="1"/>
  <c r="R115" i="1"/>
  <c r="R105" i="1"/>
  <c r="R95" i="1"/>
  <c r="R75" i="1"/>
  <c r="R15" i="1"/>
  <c r="R3" i="1"/>
  <c r="R814" i="1"/>
  <c r="R794" i="1"/>
  <c r="R784" i="1"/>
  <c r="R774" i="1"/>
  <c r="R764" i="1"/>
  <c r="R734" i="1"/>
  <c r="R724" i="1"/>
  <c r="R704" i="1"/>
  <c r="R694" i="1"/>
  <c r="R684" i="1"/>
  <c r="R674" i="1"/>
  <c r="R634" i="1"/>
  <c r="R624" i="1"/>
  <c r="R604" i="1"/>
  <c r="R594" i="1"/>
  <c r="R584" i="1"/>
  <c r="R554" i="1"/>
  <c r="R534" i="1"/>
  <c r="R504" i="1"/>
  <c r="R454" i="1"/>
  <c r="R444" i="1"/>
  <c r="R434" i="1"/>
  <c r="R424" i="1"/>
  <c r="R394" i="1"/>
  <c r="R364" i="1"/>
  <c r="R344" i="1"/>
  <c r="R334" i="1"/>
  <c r="R324" i="1"/>
  <c r="R314" i="1"/>
  <c r="R294" i="1"/>
  <c r="R264" i="1"/>
  <c r="R244" i="1"/>
  <c r="R224" i="1"/>
  <c r="R214" i="1"/>
  <c r="R144" i="1"/>
  <c r="R134" i="1"/>
  <c r="R124" i="1"/>
  <c r="R114" i="1"/>
  <c r="R104" i="1"/>
  <c r="R94" i="1"/>
  <c r="R84" i="1"/>
  <c r="R74" i="1"/>
  <c r="R34" i="1"/>
  <c r="R14" i="1"/>
  <c r="R733" i="1"/>
  <c r="R623" i="1"/>
  <c r="R613" i="1"/>
  <c r="R603" i="1"/>
  <c r="R503" i="1"/>
  <c r="R453" i="1"/>
  <c r="R443" i="1"/>
  <c r="R433" i="1"/>
  <c r="R403" i="1"/>
  <c r="R393" i="1"/>
  <c r="R373" i="1"/>
  <c r="R363" i="1"/>
  <c r="R343" i="1"/>
  <c r="R333" i="1"/>
  <c r="R323" i="1"/>
  <c r="R313" i="1"/>
  <c r="R293" i="1"/>
  <c r="R273" i="1"/>
  <c r="R263" i="1"/>
  <c r="R243" i="1"/>
  <c r="R223" i="1"/>
  <c r="R213" i="1"/>
  <c r="R203" i="1"/>
  <c r="R133" i="1"/>
  <c r="R123" i="1"/>
  <c r="R113" i="1"/>
  <c r="R103" i="1"/>
  <c r="R83" i="1"/>
  <c r="R73" i="1"/>
  <c r="R33" i="1"/>
  <c r="R13" i="1"/>
  <c r="R723" i="1"/>
  <c r="R593" i="1"/>
  <c r="R602" i="1"/>
  <c r="R362" i="1"/>
  <c r="R342" i="1"/>
  <c r="R292" i="1"/>
  <c r="R272" i="1"/>
  <c r="R262" i="1"/>
  <c r="R242" i="1"/>
  <c r="R222" i="1"/>
  <c r="R212" i="1"/>
  <c r="R202" i="1"/>
  <c r="R132" i="1"/>
  <c r="R122" i="1"/>
  <c r="R112" i="1"/>
  <c r="R102" i="1"/>
  <c r="R82" i="1"/>
  <c r="R72" i="1"/>
  <c r="R32" i="1"/>
  <c r="R12" i="1"/>
  <c r="R813" i="1"/>
  <c r="R793" i="1"/>
  <c r="R753" i="1"/>
  <c r="R573" i="1"/>
  <c r="R502" i="1"/>
  <c r="R432" i="1"/>
  <c r="R312" i="1"/>
  <c r="R811" i="1"/>
  <c r="R801" i="1"/>
  <c r="R791" i="1"/>
  <c r="R781" i="1"/>
  <c r="R751" i="1"/>
  <c r="R741" i="1"/>
  <c r="R731" i="1"/>
  <c r="R721" i="1"/>
  <c r="R701" i="1"/>
  <c r="R691" i="1"/>
  <c r="R681" i="1"/>
  <c r="R671" i="1"/>
  <c r="R661" i="1"/>
  <c r="R621" i="1"/>
  <c r="R611" i="1"/>
  <c r="R601" i="1"/>
  <c r="R591" i="1"/>
  <c r="R581" i="1"/>
  <c r="R551" i="1"/>
  <c r="R531" i="1"/>
  <c r="R501" i="1"/>
  <c r="R481" i="1"/>
  <c r="R441" i="1"/>
  <c r="R431" i="1"/>
  <c r="R401" i="1"/>
  <c r="R391" i="1"/>
  <c r="R381" i="1"/>
  <c r="R341" i="1"/>
  <c r="R331" i="1"/>
  <c r="R321" i="1"/>
  <c r="R291" i="1"/>
  <c r="R271" i="1"/>
  <c r="R261" i="1"/>
  <c r="R241" i="1"/>
  <c r="R221" i="1"/>
  <c r="R211" i="1"/>
  <c r="R201" i="1"/>
  <c r="R131" i="1"/>
  <c r="R121" i="1"/>
  <c r="R111" i="1"/>
  <c r="R101" i="1"/>
  <c r="R91" i="1"/>
  <c r="R81" i="1"/>
  <c r="R71" i="1"/>
  <c r="R31" i="1"/>
  <c r="R11" i="1"/>
  <c r="R743" i="1"/>
  <c r="R683" i="1"/>
  <c r="R553" i="1"/>
  <c r="R792" i="1"/>
  <c r="R692" i="1"/>
  <c r="R672" i="1"/>
  <c r="R622" i="1"/>
  <c r="R582" i="1"/>
  <c r="R552" i="1"/>
  <c r="R322" i="1"/>
  <c r="R800" i="1"/>
  <c r="R790" i="1"/>
  <c r="R780" i="1"/>
  <c r="R750" i="1"/>
  <c r="R730" i="1"/>
  <c r="R720" i="1"/>
  <c r="R700" i="1"/>
  <c r="R690" i="1"/>
  <c r="R680" i="1"/>
  <c r="R670" i="1"/>
  <c r="R660" i="1"/>
  <c r="R620" i="1"/>
  <c r="R610" i="1"/>
  <c r="R590" i="1"/>
  <c r="R580" i="1"/>
  <c r="R530" i="1"/>
  <c r="R480" i="1"/>
  <c r="R440" i="1"/>
  <c r="R430" i="1"/>
  <c r="R400" i="1"/>
  <c r="R390" i="1"/>
  <c r="R380" i="1"/>
  <c r="R340" i="1"/>
  <c r="R330" i="1"/>
  <c r="R320" i="1"/>
  <c r="R270" i="1"/>
  <c r="R240" i="1"/>
  <c r="R220" i="1"/>
  <c r="R210" i="1"/>
  <c r="R200" i="1"/>
  <c r="R140" i="1"/>
  <c r="R130" i="1"/>
  <c r="R100" i="1"/>
  <c r="R90" i="1"/>
  <c r="R80" i="1"/>
  <c r="R70" i="1"/>
  <c r="R30" i="1"/>
  <c r="R10" i="1"/>
  <c r="R783" i="1"/>
  <c r="R763" i="1"/>
  <c r="R693" i="1"/>
  <c r="R533" i="1"/>
  <c r="R722" i="1"/>
  <c r="R682" i="1"/>
  <c r="R632" i="1"/>
  <c r="R592" i="1"/>
  <c r="R532" i="1"/>
  <c r="R452" i="1"/>
  <c r="R442" i="1"/>
  <c r="R332" i="1"/>
  <c r="R789" i="1"/>
  <c r="R779" i="1"/>
  <c r="R749" i="1"/>
  <c r="R729" i="1"/>
  <c r="R719" i="1"/>
  <c r="R689" i="1"/>
  <c r="R679" i="1"/>
  <c r="R669" i="1"/>
  <c r="R659" i="1"/>
  <c r="R639" i="1"/>
  <c r="R619" i="1"/>
  <c r="R589" i="1"/>
  <c r="R579" i="1"/>
  <c r="R529" i="1"/>
  <c r="R479" i="1"/>
  <c r="R449" i="1"/>
  <c r="R439" i="1"/>
  <c r="R429" i="1"/>
  <c r="R399" i="1"/>
  <c r="R379" i="1"/>
  <c r="R349" i="1"/>
  <c r="R339" i="1"/>
  <c r="R329" i="1"/>
  <c r="R319" i="1"/>
  <c r="R269" i="1"/>
  <c r="R259" i="1"/>
  <c r="R239" i="1"/>
  <c r="R219" i="1"/>
  <c r="R209" i="1"/>
  <c r="R139" i="1"/>
  <c r="R129" i="1"/>
  <c r="R99" i="1"/>
  <c r="R89" i="1"/>
  <c r="R79" i="1"/>
  <c r="R9" i="1"/>
  <c r="R703" i="1"/>
  <c r="R583" i="1"/>
  <c r="R782" i="1"/>
  <c r="R702" i="1"/>
  <c r="R612" i="1"/>
  <c r="R392" i="1"/>
  <c r="R778" i="1"/>
  <c r="R748" i="1"/>
  <c r="R728" i="1"/>
  <c r="R678" i="1"/>
  <c r="R668" i="1"/>
  <c r="R648" i="1"/>
  <c r="R628" i="1"/>
  <c r="R618" i="1"/>
  <c r="R598" i="1"/>
  <c r="R578" i="1"/>
  <c r="R528" i="1"/>
  <c r="R498" i="1"/>
  <c r="R478" i="1"/>
  <c r="R448" i="1"/>
  <c r="R438" i="1"/>
  <c r="R398" i="1"/>
  <c r="R378" i="1"/>
  <c r="R348" i="1"/>
  <c r="R338" i="1"/>
  <c r="R328" i="1"/>
  <c r="R318" i="1"/>
  <c r="R278" i="1"/>
  <c r="R268" i="1"/>
  <c r="R238" i="1"/>
  <c r="R218" i="1"/>
  <c r="R208" i="1"/>
  <c r="R138" i="1"/>
  <c r="R128" i="1"/>
  <c r="R118" i="1"/>
  <c r="R98" i="1"/>
  <c r="R88" i="1"/>
  <c r="R8" i="1"/>
  <c r="R673" i="1"/>
  <c r="R812" i="1"/>
  <c r="R752" i="1"/>
  <c r="R797" i="1"/>
  <c r="R747" i="1"/>
  <c r="R737" i="1"/>
  <c r="R727" i="1"/>
  <c r="R707" i="1"/>
  <c r="R697" i="1"/>
  <c r="R677" i="1"/>
  <c r="R667" i="1"/>
  <c r="R647" i="1"/>
  <c r="R627" i="1"/>
  <c r="R617" i="1"/>
  <c r="R597" i="1"/>
  <c r="R577" i="1"/>
  <c r="R527" i="1"/>
  <c r="R507" i="1"/>
  <c r="R497" i="1"/>
  <c r="R477" i="1"/>
  <c r="R447" i="1"/>
  <c r="R437" i="1"/>
  <c r="R427" i="1"/>
  <c r="R397" i="1"/>
  <c r="R377" i="1"/>
  <c r="R347" i="1"/>
  <c r="R337" i="1"/>
  <c r="R327" i="1"/>
  <c r="R277" i="1"/>
  <c r="R267" i="1"/>
  <c r="R207" i="1"/>
  <c r="R137" i="1"/>
  <c r="R127" i="1"/>
  <c r="R107" i="1"/>
  <c r="R97" i="1"/>
  <c r="R87" i="1"/>
  <c r="R77" i="1"/>
  <c r="R7" i="1"/>
  <c r="R663" i="1"/>
  <c r="R633" i="1"/>
  <c r="R662" i="1"/>
  <c r="R796" i="1"/>
  <c r="R786" i="1"/>
  <c r="R746" i="1"/>
  <c r="R736" i="1"/>
  <c r="R726" i="1"/>
  <c r="R706" i="1"/>
  <c r="R696" i="1"/>
  <c r="R686" i="1"/>
  <c r="R666" i="1"/>
  <c r="R646" i="1"/>
  <c r="R636" i="1"/>
  <c r="R616" i="1"/>
  <c r="R596" i="1"/>
  <c r="R586" i="1"/>
  <c r="R506" i="1"/>
  <c r="R496" i="1"/>
  <c r="R456" i="1"/>
  <c r="R436" i="1"/>
  <c r="R426" i="1"/>
  <c r="R406" i="1"/>
  <c r="R396" i="1"/>
  <c r="R376" i="1"/>
  <c r="R336" i="1"/>
  <c r="R326" i="1"/>
  <c r="R276" i="1"/>
  <c r="R266" i="1"/>
  <c r="R206" i="1"/>
  <c r="R136" i="1"/>
  <c r="R126" i="1"/>
  <c r="R106" i="1"/>
  <c r="R96" i="1"/>
  <c r="R76" i="1"/>
  <c r="R6" i="1"/>
  <c r="I9" i="2"/>
  <c r="R1" i="1" l="1"/>
</calcChain>
</file>

<file path=xl/sharedStrings.xml><?xml version="1.0" encoding="utf-8"?>
<sst xmlns="http://schemas.openxmlformats.org/spreadsheetml/2006/main" count="2466" uniqueCount="843">
  <si>
    <t>Symbol</t>
  </si>
  <si>
    <t>Date</t>
  </si>
  <si>
    <t>Initial Balance</t>
  </si>
  <si>
    <t>End Balance</t>
  </si>
  <si>
    <t>StartTime</t>
  </si>
  <si>
    <t>EndTime</t>
  </si>
  <si>
    <t>Full Date Time</t>
  </si>
  <si>
    <t>Profit/Loss</t>
  </si>
  <si>
    <t>DiffTime</t>
  </si>
  <si>
    <t>Type</t>
  </si>
  <si>
    <t>BollingerLower</t>
  </si>
  <si>
    <t>StartPrice</t>
  </si>
  <si>
    <t>BollingerUpper</t>
  </si>
  <si>
    <t>EndPrice</t>
  </si>
  <si>
    <t>TSLA</t>
  </si>
  <si>
    <t>SELL</t>
  </si>
  <si>
    <t>BUY</t>
  </si>
  <si>
    <t>'202310301254</t>
  </si>
  <si>
    <t>'202310301301</t>
  </si>
  <si>
    <t>'202310301309</t>
  </si>
  <si>
    <t>'202310301325</t>
  </si>
  <si>
    <t>'202310301427</t>
  </si>
  <si>
    <t>'202310301442</t>
  </si>
  <si>
    <t>'202310301458</t>
  </si>
  <si>
    <t>'202310301505</t>
  </si>
  <si>
    <t>'202310310938</t>
  </si>
  <si>
    <t>'202310310943</t>
  </si>
  <si>
    <t>'202310311019</t>
  </si>
  <si>
    <t>'202310311030</t>
  </si>
  <si>
    <t>'202310311055</t>
  </si>
  <si>
    <t>'202310311100</t>
  </si>
  <si>
    <t>'202310311115</t>
  </si>
  <si>
    <t>'202310311203</t>
  </si>
  <si>
    <t>'202310311212</t>
  </si>
  <si>
    <t>'202310311238</t>
  </si>
  <si>
    <t>'202310311306</t>
  </si>
  <si>
    <t>'202310311316</t>
  </si>
  <si>
    <t>'202310311322</t>
  </si>
  <si>
    <t>'202310311414</t>
  </si>
  <si>
    <t>'202310311504</t>
  </si>
  <si>
    <t>'202310311509</t>
  </si>
  <si>
    <t>'202311011046</t>
  </si>
  <si>
    <t>'202311011101</t>
  </si>
  <si>
    <t>'202311011113</t>
  </si>
  <si>
    <t>'202311011120</t>
  </si>
  <si>
    <t>'202311011128</t>
  </si>
  <si>
    <t>'202311011207</t>
  </si>
  <si>
    <t>'202311011338</t>
  </si>
  <si>
    <t>'202311011403</t>
  </si>
  <si>
    <t>'202311011432</t>
  </si>
  <si>
    <t>'202311011457</t>
  </si>
  <si>
    <t>'202311011509</t>
  </si>
  <si>
    <t>'202311011518</t>
  </si>
  <si>
    <t>'202311011531</t>
  </si>
  <si>
    <t>'202311020933</t>
  </si>
  <si>
    <t>'202311020938</t>
  </si>
  <si>
    <t>'202311020946</t>
  </si>
  <si>
    <t>'202311020951</t>
  </si>
  <si>
    <t>'202311020956</t>
  </si>
  <si>
    <t>'202311021002</t>
  </si>
  <si>
    <t>'202311021019</t>
  </si>
  <si>
    <t>'202311021030</t>
  </si>
  <si>
    <t>'202311021036</t>
  </si>
  <si>
    <t>'202311021049</t>
  </si>
  <si>
    <t>'202311021104</t>
  </si>
  <si>
    <t>'202311021116</t>
  </si>
  <si>
    <t>'202311021150</t>
  </si>
  <si>
    <t>'202311021155</t>
  </si>
  <si>
    <t>'202311021221</t>
  </si>
  <si>
    <t>'202311021247</t>
  </si>
  <si>
    <t>'202311021253</t>
  </si>
  <si>
    <t>'202311021315</t>
  </si>
  <si>
    <t>'202311021320</t>
  </si>
  <si>
    <t>'202311021333</t>
  </si>
  <si>
    <t>'202311021339</t>
  </si>
  <si>
    <t>'202311021412</t>
  </si>
  <si>
    <t>'202311021434</t>
  </si>
  <si>
    <t>'202311030933</t>
  </si>
  <si>
    <t>'202311030938</t>
  </si>
  <si>
    <t>'202311030957</t>
  </si>
  <si>
    <t>'202311031003</t>
  </si>
  <si>
    <t>'202311031116</t>
  </si>
  <si>
    <t>'202311031124</t>
  </si>
  <si>
    <t>'202311031150</t>
  </si>
  <si>
    <t>'202311031336</t>
  </si>
  <si>
    <t>'202311031341</t>
  </si>
  <si>
    <t>'202311031513</t>
  </si>
  <si>
    <t>'202311031518</t>
  </si>
  <si>
    <t>'202311031549</t>
  </si>
  <si>
    <t>'202311060933</t>
  </si>
  <si>
    <t>'202311061017</t>
  </si>
  <si>
    <t>'202311061026</t>
  </si>
  <si>
    <t>'202311061049</t>
  </si>
  <si>
    <t>'202311061054</t>
  </si>
  <si>
    <t>'202311061137</t>
  </si>
  <si>
    <t>'202311061157</t>
  </si>
  <si>
    <t>'202311061246</t>
  </si>
  <si>
    <t>'202311061300</t>
  </si>
  <si>
    <t>'202311061333</t>
  </si>
  <si>
    <t>'202311061355</t>
  </si>
  <si>
    <t>'202311061401</t>
  </si>
  <si>
    <t>'202311061408</t>
  </si>
  <si>
    <t>'202311061415</t>
  </si>
  <si>
    <t>'202311061519</t>
  </si>
  <si>
    <t>'202311061524</t>
  </si>
  <si>
    <t>'202311070946</t>
  </si>
  <si>
    <t>'202311070954</t>
  </si>
  <si>
    <t>'202311070959</t>
  </si>
  <si>
    <t>'202311071006</t>
  </si>
  <si>
    <t>'202311071016</t>
  </si>
  <si>
    <t>'202311071023</t>
  </si>
  <si>
    <t>'202311071029</t>
  </si>
  <si>
    <t>'202311071036</t>
  </si>
  <si>
    <t>'202311071053</t>
  </si>
  <si>
    <t>'202311071208</t>
  </si>
  <si>
    <t>'202311071219</t>
  </si>
  <si>
    <t>'202311071233</t>
  </si>
  <si>
    <t>'202311071240</t>
  </si>
  <si>
    <t>'202311071258</t>
  </si>
  <si>
    <t>'202311071349</t>
  </si>
  <si>
    <t>'202311071517</t>
  </si>
  <si>
    <t>'202311071540</t>
  </si>
  <si>
    <t>'202311080946</t>
  </si>
  <si>
    <t>'202311080955</t>
  </si>
  <si>
    <t>'202311081010</t>
  </si>
  <si>
    <t>'202311081017</t>
  </si>
  <si>
    <t>'202311081036</t>
  </si>
  <si>
    <t>'202311081041</t>
  </si>
  <si>
    <t>'202311081208</t>
  </si>
  <si>
    <t>'202311081213</t>
  </si>
  <si>
    <t>'202311081505</t>
  </si>
  <si>
    <t>'202311081514</t>
  </si>
  <si>
    <t>'202311090933</t>
  </si>
  <si>
    <t>'202311090946</t>
  </si>
  <si>
    <t>'202311090957</t>
  </si>
  <si>
    <t>'202311091019</t>
  </si>
  <si>
    <t>'202311091032</t>
  </si>
  <si>
    <t>'202311091043</t>
  </si>
  <si>
    <t>'202311091048</t>
  </si>
  <si>
    <t>'202311091058</t>
  </si>
  <si>
    <t>'202311091121</t>
  </si>
  <si>
    <t>'202311091158</t>
  </si>
  <si>
    <t>'202311091203</t>
  </si>
  <si>
    <t>'202311091235</t>
  </si>
  <si>
    <t>'202311091247</t>
  </si>
  <si>
    <t>'202311091252</t>
  </si>
  <si>
    <t>'202311091308</t>
  </si>
  <si>
    <t>'202311091313</t>
  </si>
  <si>
    <t>'202311091408</t>
  </si>
  <si>
    <t>'202311091437</t>
  </si>
  <si>
    <t>'202311091449</t>
  </si>
  <si>
    <t>'202311091505</t>
  </si>
  <si>
    <t>'202311100949</t>
  </si>
  <si>
    <t>'202311100954</t>
  </si>
  <si>
    <t>'202311100959</t>
  </si>
  <si>
    <t>'202311101033</t>
  </si>
  <si>
    <t>'202311101039</t>
  </si>
  <si>
    <t>'202311101204</t>
  </si>
  <si>
    <t>'202311101221</t>
  </si>
  <si>
    <t>'202311101244</t>
  </si>
  <si>
    <t>'202311101250</t>
  </si>
  <si>
    <t>'202311101255</t>
  </si>
  <si>
    <t>'202311101300</t>
  </si>
  <si>
    <t>'202311101307</t>
  </si>
  <si>
    <t>'202311101314</t>
  </si>
  <si>
    <t>'202311101319</t>
  </si>
  <si>
    <t>'202311101356</t>
  </si>
  <si>
    <t>'202311101421</t>
  </si>
  <si>
    <t>'202311101428</t>
  </si>
  <si>
    <t>'202311101443</t>
  </si>
  <si>
    <t>'202311101457</t>
  </si>
  <si>
    <t>'202311130946</t>
  </si>
  <si>
    <t>'202311131017</t>
  </si>
  <si>
    <t>'202311131028</t>
  </si>
  <si>
    <t>'202311131039</t>
  </si>
  <si>
    <t>'202311131052</t>
  </si>
  <si>
    <t>'202311131058</t>
  </si>
  <si>
    <t>'202311131128</t>
  </si>
  <si>
    <t>'202311131227</t>
  </si>
  <si>
    <t>'202311131233</t>
  </si>
  <si>
    <t>'202311131353</t>
  </si>
  <si>
    <t>'202311131438</t>
  </si>
  <si>
    <t>'202311131443</t>
  </si>
  <si>
    <t>'202311131553</t>
  </si>
  <si>
    <t>'202311140933</t>
  </si>
  <si>
    <t>'202311140938</t>
  </si>
  <si>
    <t>'202311140949</t>
  </si>
  <si>
    <t>'202311140958</t>
  </si>
  <si>
    <t>'202311141005</t>
  </si>
  <si>
    <t>'202311141010</t>
  </si>
  <si>
    <t>'202311141035</t>
  </si>
  <si>
    <t>'202311141040</t>
  </si>
  <si>
    <t>'202311141054</t>
  </si>
  <si>
    <t>'202311141107</t>
  </si>
  <si>
    <t>'202311141112</t>
  </si>
  <si>
    <t>'202311141126</t>
  </si>
  <si>
    <t>'202311141145</t>
  </si>
  <si>
    <t>'202311141150</t>
  </si>
  <si>
    <t>'202311141303</t>
  </si>
  <si>
    <t>'202311141313</t>
  </si>
  <si>
    <t>'202311141319</t>
  </si>
  <si>
    <t>'202311141433</t>
  </si>
  <si>
    <t>'202311141438</t>
  </si>
  <si>
    <t>'202311150936</t>
  </si>
  <si>
    <t>'202311150943</t>
  </si>
  <si>
    <t>'202311150949</t>
  </si>
  <si>
    <t>'202311150955</t>
  </si>
  <si>
    <t>'202311151014</t>
  </si>
  <si>
    <t>'202311151033</t>
  </si>
  <si>
    <t>'202311151109</t>
  </si>
  <si>
    <t>'202311151132</t>
  </si>
  <si>
    <t>'202311151204</t>
  </si>
  <si>
    <t>'202311151210</t>
  </si>
  <si>
    <t>'202311151308</t>
  </si>
  <si>
    <t>'202311151315</t>
  </si>
  <si>
    <t>'202311151321</t>
  </si>
  <si>
    <t>'202311151327</t>
  </si>
  <si>
    <t>'202311160933</t>
  </si>
  <si>
    <t>'202311160943</t>
  </si>
  <si>
    <t>'202311160949</t>
  </si>
  <si>
    <t>'202311161011</t>
  </si>
  <si>
    <t>'202311161025</t>
  </si>
  <si>
    <t>'202311161032</t>
  </si>
  <si>
    <t>'202311161047</t>
  </si>
  <si>
    <t>'202311161101</t>
  </si>
  <si>
    <t>'202311161129</t>
  </si>
  <si>
    <t>'202311161135</t>
  </si>
  <si>
    <t>'202311161149</t>
  </si>
  <si>
    <t>'202311161203</t>
  </si>
  <si>
    <t>'202311161215</t>
  </si>
  <si>
    <t>'202311161238</t>
  </si>
  <si>
    <t>'202311161308</t>
  </si>
  <si>
    <t>'202311161355</t>
  </si>
  <si>
    <t>'202311161415</t>
  </si>
  <si>
    <t>'202311170933</t>
  </si>
  <si>
    <t>'202311170948</t>
  </si>
  <si>
    <t>'202311170954</t>
  </si>
  <si>
    <t>'202311171049</t>
  </si>
  <si>
    <t>'202311171116</t>
  </si>
  <si>
    <t>'202311171121</t>
  </si>
  <si>
    <t>'202311171126</t>
  </si>
  <si>
    <t>'202311171141</t>
  </si>
  <si>
    <t>'202311171147</t>
  </si>
  <si>
    <t>'202311171220</t>
  </si>
  <si>
    <t>'202311171225</t>
  </si>
  <si>
    <t>'202311171245</t>
  </si>
  <si>
    <t>'202311171250</t>
  </si>
  <si>
    <t>'202311171308</t>
  </si>
  <si>
    <t>'202311171328</t>
  </si>
  <si>
    <t>'202311200933</t>
  </si>
  <si>
    <t>'202311201047</t>
  </si>
  <si>
    <t>'202311201053</t>
  </si>
  <si>
    <t>'202311201059</t>
  </si>
  <si>
    <t>'202311201203</t>
  </si>
  <si>
    <t>'202311201225</t>
  </si>
  <si>
    <t>'202311201253</t>
  </si>
  <si>
    <t>'202311201322</t>
  </si>
  <si>
    <t>'202311201327</t>
  </si>
  <si>
    <t>'202311201516</t>
  </si>
  <si>
    <t>'202311210946</t>
  </si>
  <si>
    <t>'202311210951</t>
  </si>
  <si>
    <t>'202311210959</t>
  </si>
  <si>
    <t>'202311211012</t>
  </si>
  <si>
    <t>'202311211022</t>
  </si>
  <si>
    <t>'202311211418</t>
  </si>
  <si>
    <t>'202311211507</t>
  </si>
  <si>
    <t>'202311211512</t>
  </si>
  <si>
    <t>'202311211517</t>
  </si>
  <si>
    <t>'202311211553</t>
  </si>
  <si>
    <t>'202311220946</t>
  </si>
  <si>
    <t>'202311220952</t>
  </si>
  <si>
    <t>'202311221017</t>
  </si>
  <si>
    <t>'202311221023</t>
  </si>
  <si>
    <t>'202311221028</t>
  </si>
  <si>
    <t>'202311221033</t>
  </si>
  <si>
    <t>'202311221045</t>
  </si>
  <si>
    <t>'202311221109</t>
  </si>
  <si>
    <t>'202311221114</t>
  </si>
  <si>
    <t>'202311221140</t>
  </si>
  <si>
    <t>'202311221146</t>
  </si>
  <si>
    <t>'202311221152</t>
  </si>
  <si>
    <t>'202311221219</t>
  </si>
  <si>
    <t>'202311221225</t>
  </si>
  <si>
    <t>'202311221238</t>
  </si>
  <si>
    <t>'202311221251</t>
  </si>
  <si>
    <t>'202311221259</t>
  </si>
  <si>
    <t>'202311221428</t>
  </si>
  <si>
    <t>'202311221446</t>
  </si>
  <si>
    <t>'202311221454</t>
  </si>
  <si>
    <t>'202311221516</t>
  </si>
  <si>
    <t>'202311240947</t>
  </si>
  <si>
    <t>'202311241020</t>
  </si>
  <si>
    <t>'202311241026</t>
  </si>
  <si>
    <t>'202311241038</t>
  </si>
  <si>
    <t>'202311241123</t>
  </si>
  <si>
    <t>'202311241548</t>
  </si>
  <si>
    <t>'202311270948</t>
  </si>
  <si>
    <t>'202311271049</t>
  </si>
  <si>
    <t>'202311271054</t>
  </si>
  <si>
    <t>'202311271139</t>
  </si>
  <si>
    <t>'202311280938</t>
  </si>
  <si>
    <t>'202311280945</t>
  </si>
  <si>
    <t>'202311281004</t>
  </si>
  <si>
    <t>'202311281009</t>
  </si>
  <si>
    <t>'202311281019</t>
  </si>
  <si>
    <t>'202311281032</t>
  </si>
  <si>
    <t>'202311281134</t>
  </si>
  <si>
    <t>'202311281153</t>
  </si>
  <si>
    <t>'202311281158</t>
  </si>
  <si>
    <t>'202311281210</t>
  </si>
  <si>
    <t>'202311281234</t>
  </si>
  <si>
    <t>'202311281256</t>
  </si>
  <si>
    <t>'202311281321</t>
  </si>
  <si>
    <t>'202311281354</t>
  </si>
  <si>
    <t>'202311281400</t>
  </si>
  <si>
    <t>'202311281418</t>
  </si>
  <si>
    <t>'202311281427</t>
  </si>
  <si>
    <t>'202311281437</t>
  </si>
  <si>
    <t>'202311281512</t>
  </si>
  <si>
    <t>'202311281542</t>
  </si>
  <si>
    <t>'202311290933</t>
  </si>
  <si>
    <t>'202311290942</t>
  </si>
  <si>
    <t>'202311290949</t>
  </si>
  <si>
    <t>'202311291047</t>
  </si>
  <si>
    <t>'202311291053</t>
  </si>
  <si>
    <t>'202311291059</t>
  </si>
  <si>
    <t>'202311291139</t>
  </si>
  <si>
    <t>'202311291144</t>
  </si>
  <si>
    <t>'202311291313</t>
  </si>
  <si>
    <t>'202311291332</t>
  </si>
  <si>
    <t>'202311291342</t>
  </si>
  <si>
    <t>'202311291403</t>
  </si>
  <si>
    <t>'202311291413</t>
  </si>
  <si>
    <t>'202311291428</t>
  </si>
  <si>
    <t>'202311291501</t>
  </si>
  <si>
    <t>'202311291535</t>
  </si>
  <si>
    <t>'202311291540</t>
  </si>
  <si>
    <t>'202311291545</t>
  </si>
  <si>
    <t>'202311300934</t>
  </si>
  <si>
    <t>'202311300948</t>
  </si>
  <si>
    <t>'202311300955</t>
  </si>
  <si>
    <t>'202311301007</t>
  </si>
  <si>
    <t>'202311301117</t>
  </si>
  <si>
    <t>'202311301140</t>
  </si>
  <si>
    <t>'202311301159</t>
  </si>
  <si>
    <t>'202311301207</t>
  </si>
  <si>
    <t>'202311301218</t>
  </si>
  <si>
    <t>'202311301306</t>
  </si>
  <si>
    <t>'202311301359</t>
  </si>
  <si>
    <t>'202311301513</t>
  </si>
  <si>
    <t>'202311301524</t>
  </si>
  <si>
    <t>'202311301532</t>
  </si>
  <si>
    <t>'202311301548</t>
  </si>
  <si>
    <t>'202312010933</t>
  </si>
  <si>
    <t>'202312010941</t>
  </si>
  <si>
    <t>'202312010947</t>
  </si>
  <si>
    <t>'202312010955</t>
  </si>
  <si>
    <t>'202312011000</t>
  </si>
  <si>
    <t>'202312011012</t>
  </si>
  <si>
    <t>'202312011027</t>
  </si>
  <si>
    <t>'202312011035</t>
  </si>
  <si>
    <t>'202312011117</t>
  </si>
  <si>
    <t>'202312011125</t>
  </si>
  <si>
    <t>'202312011131</t>
  </si>
  <si>
    <t>'202312011139</t>
  </si>
  <si>
    <t>'202312011154</t>
  </si>
  <si>
    <t>'202312011201</t>
  </si>
  <si>
    <t>'202312011220</t>
  </si>
  <si>
    <t>'202312011319</t>
  </si>
  <si>
    <t>'202312011329</t>
  </si>
  <si>
    <t>'202312011503</t>
  </si>
  <si>
    <t>'202312011531</t>
  </si>
  <si>
    <t>'202312011542</t>
  </si>
  <si>
    <t>'202312040933</t>
  </si>
  <si>
    <t>'202312040938</t>
  </si>
  <si>
    <t>'202312041037</t>
  </si>
  <si>
    <t>'202312041042</t>
  </si>
  <si>
    <t>'202312041303</t>
  </si>
  <si>
    <t>'202312050938</t>
  </si>
  <si>
    <t>'202312050943</t>
  </si>
  <si>
    <t>'202312050949</t>
  </si>
  <si>
    <t>'202312050955</t>
  </si>
  <si>
    <t>'202312051029</t>
  </si>
  <si>
    <t>'202312051102</t>
  </si>
  <si>
    <t>'202312051247</t>
  </si>
  <si>
    <t>'202312051253</t>
  </si>
  <si>
    <t>'202312051258</t>
  </si>
  <si>
    <t>'202312051318</t>
  </si>
  <si>
    <t>'202312051324</t>
  </si>
  <si>
    <t>'202312051435</t>
  </si>
  <si>
    <t>'202312051441</t>
  </si>
  <si>
    <t>'202312051547</t>
  </si>
  <si>
    <t>'202312051552</t>
  </si>
  <si>
    <t>'202312060933</t>
  </si>
  <si>
    <t>'202312060939</t>
  </si>
  <si>
    <t>'202312060952</t>
  </si>
  <si>
    <t>'202312060957</t>
  </si>
  <si>
    <t>'202312061002</t>
  </si>
  <si>
    <t>'202312061011</t>
  </si>
  <si>
    <t>'202312061020</t>
  </si>
  <si>
    <t>'202312061248</t>
  </si>
  <si>
    <t>'202312061334</t>
  </si>
  <si>
    <t>'202312061339</t>
  </si>
  <si>
    <t>'202312061355</t>
  </si>
  <si>
    <t>'202312061416</t>
  </si>
  <si>
    <t>'202312061421</t>
  </si>
  <si>
    <t>'202312061429</t>
  </si>
  <si>
    <t>'202312061435</t>
  </si>
  <si>
    <t>'202312061440</t>
  </si>
  <si>
    <t>'202312061445</t>
  </si>
  <si>
    <t>'202312061505</t>
  </si>
  <si>
    <t>'202312061538</t>
  </si>
  <si>
    <t>'202312061544</t>
  </si>
  <si>
    <t>'202312070933</t>
  </si>
  <si>
    <t>'202312070948</t>
  </si>
  <si>
    <t>'202312070956</t>
  </si>
  <si>
    <t>'202312071002</t>
  </si>
  <si>
    <t>'202312071011</t>
  </si>
  <si>
    <t>'202312071102</t>
  </si>
  <si>
    <t>'202312071132</t>
  </si>
  <si>
    <t>'202312071403</t>
  </si>
  <si>
    <t>'202312071423</t>
  </si>
  <si>
    <t>'202312071429</t>
  </si>
  <si>
    <t>'202312071434</t>
  </si>
  <si>
    <t>'202312071502</t>
  </si>
  <si>
    <t>'202312071531</t>
  </si>
  <si>
    <t>'202312071536</t>
  </si>
  <si>
    <t>'202312080933</t>
  </si>
  <si>
    <t>'202312080949</t>
  </si>
  <si>
    <t>'202312080955</t>
  </si>
  <si>
    <t>'202312081016</t>
  </si>
  <si>
    <t>'202312081022</t>
  </si>
  <si>
    <t>'202312081037</t>
  </si>
  <si>
    <t>'202312081055</t>
  </si>
  <si>
    <t>'202312081107</t>
  </si>
  <si>
    <t>'202312081219</t>
  </si>
  <si>
    <t>'202312081224</t>
  </si>
  <si>
    <t>'202312081229</t>
  </si>
  <si>
    <t>'202312081245</t>
  </si>
  <si>
    <t>'202312081447</t>
  </si>
  <si>
    <t>'202312110933</t>
  </si>
  <si>
    <t>'202312110942</t>
  </si>
  <si>
    <t>'202312110949</t>
  </si>
  <si>
    <t>'202312110957</t>
  </si>
  <si>
    <t>'202312111004</t>
  </si>
  <si>
    <t>'202312111019</t>
  </si>
  <si>
    <t>'202312111024</t>
  </si>
  <si>
    <t>'202312111036</t>
  </si>
  <si>
    <t>'202312111109</t>
  </si>
  <si>
    <t>'202312111128</t>
  </si>
  <si>
    <t>'202312111329</t>
  </si>
  <si>
    <t>'202312111448</t>
  </si>
  <si>
    <t>'202312120933</t>
  </si>
  <si>
    <t>'202312120944</t>
  </si>
  <si>
    <t>'202312120952</t>
  </si>
  <si>
    <t>'202312121047</t>
  </si>
  <si>
    <t>'202312121104</t>
  </si>
  <si>
    <t>'202312121134</t>
  </si>
  <si>
    <t>'202312121146</t>
  </si>
  <si>
    <t>'202312121228</t>
  </si>
  <si>
    <t>'202312121246</t>
  </si>
  <si>
    <t>'202312121517</t>
  </si>
  <si>
    <t>'202312121524</t>
  </si>
  <si>
    <t>'202312130950</t>
  </si>
  <si>
    <t>'202312131009</t>
  </si>
  <si>
    <t>'202312131020</t>
  </si>
  <si>
    <t>'202312131054</t>
  </si>
  <si>
    <t>'202312131121</t>
  </si>
  <si>
    <t>'202312131417</t>
  </si>
  <si>
    <t>'202312131428</t>
  </si>
  <si>
    <t>'202312131438</t>
  </si>
  <si>
    <t>'202312131503</t>
  </si>
  <si>
    <t>'202312131510</t>
  </si>
  <si>
    <t>'202312140933</t>
  </si>
  <si>
    <t>'202312140939</t>
  </si>
  <si>
    <t>'202312140950</t>
  </si>
  <si>
    <t>'202312141006</t>
  </si>
  <si>
    <t>'202312141019</t>
  </si>
  <si>
    <t>'202312141025</t>
  </si>
  <si>
    <t>'202312141033</t>
  </si>
  <si>
    <t>'202312141042</t>
  </si>
  <si>
    <t>'202312141130</t>
  </si>
  <si>
    <t>'202312141140</t>
  </si>
  <si>
    <t>'202312141145</t>
  </si>
  <si>
    <t>'202312141158</t>
  </si>
  <si>
    <t>'202312141205</t>
  </si>
  <si>
    <t>'202312141210</t>
  </si>
  <si>
    <t>'202312141222</t>
  </si>
  <si>
    <t>'202312150935</t>
  </si>
  <si>
    <t>'202312150941</t>
  </si>
  <si>
    <t>'202312150953</t>
  </si>
  <si>
    <t>'202312151006</t>
  </si>
  <si>
    <t>'202312151011</t>
  </si>
  <si>
    <t>'202312151019</t>
  </si>
  <si>
    <t>'202312151039</t>
  </si>
  <si>
    <t>'202312151047</t>
  </si>
  <si>
    <t>'202312151052</t>
  </si>
  <si>
    <t>'202312151130</t>
  </si>
  <si>
    <t>'202312151135</t>
  </si>
  <si>
    <t>'202312151145</t>
  </si>
  <si>
    <t>'202312151207</t>
  </si>
  <si>
    <t>'202312151543</t>
  </si>
  <si>
    <t>'202312151549</t>
  </si>
  <si>
    <t>'202312180933</t>
  </si>
  <si>
    <t>'202312180951</t>
  </si>
  <si>
    <t>'202312180956</t>
  </si>
  <si>
    <t>'202312181031</t>
  </si>
  <si>
    <t>'202312181149</t>
  </si>
  <si>
    <t>'202312181211</t>
  </si>
  <si>
    <t>'202312181224</t>
  </si>
  <si>
    <t>'202312181313</t>
  </si>
  <si>
    <t>'202312181325</t>
  </si>
  <si>
    <t>'202312181404</t>
  </si>
  <si>
    <t>'202312181419</t>
  </si>
  <si>
    <t>'202312181424</t>
  </si>
  <si>
    <t>'202312181444</t>
  </si>
  <si>
    <t>'202312181538</t>
  </si>
  <si>
    <t>'202312181546</t>
  </si>
  <si>
    <t>'202312181553</t>
  </si>
  <si>
    <t>'202312190933</t>
  </si>
  <si>
    <t>'202312190948</t>
  </si>
  <si>
    <t>'202312191008</t>
  </si>
  <si>
    <t>'202312191050</t>
  </si>
  <si>
    <t>'202312191131</t>
  </si>
  <si>
    <t>'202312191342</t>
  </si>
  <si>
    <t>'202312191351</t>
  </si>
  <si>
    <t>'202312191445</t>
  </si>
  <si>
    <t>'202312191454</t>
  </si>
  <si>
    <t>'202312191459</t>
  </si>
  <si>
    <t>'202312191545</t>
  </si>
  <si>
    <t>'202312191552</t>
  </si>
  <si>
    <t>'202312200948</t>
  </si>
  <si>
    <t>'202312201000</t>
  </si>
  <si>
    <t>'202312201014</t>
  </si>
  <si>
    <t>'202312201024</t>
  </si>
  <si>
    <t>'202312201031</t>
  </si>
  <si>
    <t>'202312201234</t>
  </si>
  <si>
    <t>'202312201239</t>
  </si>
  <si>
    <t>'202312201245</t>
  </si>
  <si>
    <t>'202312201408</t>
  </si>
  <si>
    <t>'202312201414</t>
  </si>
  <si>
    <t>'202312201421</t>
  </si>
  <si>
    <t>'202312201459</t>
  </si>
  <si>
    <t>'202312201510</t>
  </si>
  <si>
    <t>'202312201528</t>
  </si>
  <si>
    <t>'202312201534</t>
  </si>
  <si>
    <t>'202312201546</t>
  </si>
  <si>
    <t>'202312210933</t>
  </si>
  <si>
    <t>'202312210940</t>
  </si>
  <si>
    <t>'202312210951</t>
  </si>
  <si>
    <t>'202312211132</t>
  </si>
  <si>
    <t>'202312211137</t>
  </si>
  <si>
    <t>'202312211143</t>
  </si>
  <si>
    <t>'202312211348</t>
  </si>
  <si>
    <t>'202312211506</t>
  </si>
  <si>
    <t>'202312220933</t>
  </si>
  <si>
    <t>'202312220938</t>
  </si>
  <si>
    <t>'202312220949</t>
  </si>
  <si>
    <t>'202312220956</t>
  </si>
  <si>
    <t>'202312221001</t>
  </si>
  <si>
    <t>'202312221009</t>
  </si>
  <si>
    <t>'202312221017</t>
  </si>
  <si>
    <t>'202312221419</t>
  </si>
  <si>
    <t>'202312221440</t>
  </si>
  <si>
    <t>'202312221446</t>
  </si>
  <si>
    <t>'202312221543</t>
  </si>
  <si>
    <t>'202312260933</t>
  </si>
  <si>
    <t>'202312260938</t>
  </si>
  <si>
    <t>'202312261000</t>
  </si>
  <si>
    <t>'202312261010</t>
  </si>
  <si>
    <t>'202312261033</t>
  </si>
  <si>
    <t>'202312261042</t>
  </si>
  <si>
    <t>'202312261106</t>
  </si>
  <si>
    <t>'202312261152</t>
  </si>
  <si>
    <t>'202312261204</t>
  </si>
  <si>
    <t>'202312261210</t>
  </si>
  <si>
    <t>'202312261319</t>
  </si>
  <si>
    <t>'202312261538</t>
  </si>
  <si>
    <t>'202312270933</t>
  </si>
  <si>
    <t>'202312270952</t>
  </si>
  <si>
    <t>'202312271332</t>
  </si>
  <si>
    <t>'202312271341</t>
  </si>
  <si>
    <t>'202312271347</t>
  </si>
  <si>
    <t>'202312271353</t>
  </si>
  <si>
    <t>'202312271534</t>
  </si>
  <si>
    <t>'202312280933</t>
  </si>
  <si>
    <t>'202312280939</t>
  </si>
  <si>
    <t>'202312281004</t>
  </si>
  <si>
    <t>'202312281012</t>
  </si>
  <si>
    <t>'202312281018</t>
  </si>
  <si>
    <t>'202312281025</t>
  </si>
  <si>
    <t>'202312281101</t>
  </si>
  <si>
    <t>'202312281145</t>
  </si>
  <si>
    <t>'202312281210</t>
  </si>
  <si>
    <t>'202312281252</t>
  </si>
  <si>
    <t>'202312281258</t>
  </si>
  <si>
    <t>'202312281427</t>
  </si>
  <si>
    <t>'202312281554</t>
  </si>
  <si>
    <t>'202312290938</t>
  </si>
  <si>
    <t>'202312290946</t>
  </si>
  <si>
    <t>'202312291004</t>
  </si>
  <si>
    <t>'202312291009</t>
  </si>
  <si>
    <t>'202312291020</t>
  </si>
  <si>
    <t>'202312291054</t>
  </si>
  <si>
    <t>'202312291100</t>
  </si>
  <si>
    <t>'202312291121</t>
  </si>
  <si>
    <t>'202312291138</t>
  </si>
  <si>
    <t>'202312291217</t>
  </si>
  <si>
    <t>'202312291237</t>
  </si>
  <si>
    <t>'202312291242</t>
  </si>
  <si>
    <t>'202312291433</t>
  </si>
  <si>
    <t>'202312291441</t>
  </si>
  <si>
    <t>'202312291506</t>
  </si>
  <si>
    <t>'202312291512</t>
  </si>
  <si>
    <t>'202401020938</t>
  </si>
  <si>
    <t>'202401020948</t>
  </si>
  <si>
    <t>'202401021134</t>
  </si>
  <si>
    <t>'202401021156</t>
  </si>
  <si>
    <t>'202401021201</t>
  </si>
  <si>
    <t>'202401021333</t>
  </si>
  <si>
    <t>'202401021354</t>
  </si>
  <si>
    <t>'202401021519</t>
  </si>
  <si>
    <t>'202401030933</t>
  </si>
  <si>
    <t>'202401030939</t>
  </si>
  <si>
    <t>'202401030950</t>
  </si>
  <si>
    <t>'202401030955</t>
  </si>
  <si>
    <t>'202401031004</t>
  </si>
  <si>
    <t>'202401031009</t>
  </si>
  <si>
    <t>'202401031022</t>
  </si>
  <si>
    <t>'202401031027</t>
  </si>
  <si>
    <t>'202401031034</t>
  </si>
  <si>
    <t>'202401031039</t>
  </si>
  <si>
    <t>'202401031117</t>
  </si>
  <si>
    <t>'202401031129</t>
  </si>
  <si>
    <t>'202401031135</t>
  </si>
  <si>
    <t>'202401031407</t>
  </si>
  <si>
    <t>'202401031414</t>
  </si>
  <si>
    <t>'202401031420</t>
  </si>
  <si>
    <t>'202401031527</t>
  </si>
  <si>
    <t>'202401031533</t>
  </si>
  <si>
    <t>'202401041034</t>
  </si>
  <si>
    <t>'202401041109</t>
  </si>
  <si>
    <t>'202401041128</t>
  </si>
  <si>
    <t>'202401041434</t>
  </si>
  <si>
    <t>'202401041440</t>
  </si>
  <si>
    <t>'202401041517</t>
  </si>
  <si>
    <t>'202401041523</t>
  </si>
  <si>
    <t>'202401041529</t>
  </si>
  <si>
    <t>'202401041545</t>
  </si>
  <si>
    <t>'202401050933</t>
  </si>
  <si>
    <t>'202401050938</t>
  </si>
  <si>
    <t>'202401051031</t>
  </si>
  <si>
    <t>'202401051047</t>
  </si>
  <si>
    <t>'202401051054</t>
  </si>
  <si>
    <t>'202401051101</t>
  </si>
  <si>
    <t>'202401051108</t>
  </si>
  <si>
    <t>'202401051234</t>
  </si>
  <si>
    <t>'202401051239</t>
  </si>
  <si>
    <t>'202401051443</t>
  </si>
  <si>
    <t>'202401051450</t>
  </si>
  <si>
    <t>'202401051515</t>
  </si>
  <si>
    <t>'202401081131</t>
  </si>
  <si>
    <t>'202401081143</t>
  </si>
  <si>
    <t>'202401081203</t>
  </si>
  <si>
    <t>'202401081229</t>
  </si>
  <si>
    <t>'202401081240</t>
  </si>
  <si>
    <t>'202401081309</t>
  </si>
  <si>
    <t>'202401081314</t>
  </si>
  <si>
    <t>'202401081322</t>
  </si>
  <si>
    <t>'202401081345</t>
  </si>
  <si>
    <t>'202401090933</t>
  </si>
  <si>
    <t>'202401090959</t>
  </si>
  <si>
    <t>'202401091004</t>
  </si>
  <si>
    <t>'202401091019</t>
  </si>
  <si>
    <t>'202401091038</t>
  </si>
  <si>
    <t>'202401091043</t>
  </si>
  <si>
    <t>'202401091333</t>
  </si>
  <si>
    <t>'202401091341</t>
  </si>
  <si>
    <t>'202401100943</t>
  </si>
  <si>
    <t>'202401101003</t>
  </si>
  <si>
    <t>'202401101125</t>
  </si>
  <si>
    <t>'202401101153</t>
  </si>
  <si>
    <t>'202401101200</t>
  </si>
  <si>
    <t>'202401101228</t>
  </si>
  <si>
    <t>'202401101250</t>
  </si>
  <si>
    <t>'202401101304</t>
  </si>
  <si>
    <t>'202401101528</t>
  </si>
  <si>
    <t>'202401101535</t>
  </si>
  <si>
    <t>'202401110933</t>
  </si>
  <si>
    <t>'202401110941</t>
  </si>
  <si>
    <t>'202401110951</t>
  </si>
  <si>
    <t>'202401111015</t>
  </si>
  <si>
    <t>'202401111022</t>
  </si>
  <si>
    <t>'202401111046</t>
  </si>
  <si>
    <t>'202401111100</t>
  </si>
  <si>
    <t>'202401111125</t>
  </si>
  <si>
    <t>'202401111145</t>
  </si>
  <si>
    <t>'202401111159</t>
  </si>
  <si>
    <t>'202401111206</t>
  </si>
  <si>
    <t>'202401111216</t>
  </si>
  <si>
    <t>'202401111239</t>
  </si>
  <si>
    <t>'202401111259</t>
  </si>
  <si>
    <t>'202401111305</t>
  </si>
  <si>
    <t>'202401111321</t>
  </si>
  <si>
    <t>'202401111547</t>
  </si>
  <si>
    <t>'202401111552</t>
  </si>
  <si>
    <t>'202401120933</t>
  </si>
  <si>
    <t>'202401121053</t>
  </si>
  <si>
    <t>'202401121058</t>
  </si>
  <si>
    <t>'202401121134</t>
  </si>
  <si>
    <t>'202401121204</t>
  </si>
  <si>
    <t>'202401121210</t>
  </si>
  <si>
    <t>'202401121332</t>
  </si>
  <si>
    <t>'202401121359</t>
  </si>
  <si>
    <t>'202401121423</t>
  </si>
  <si>
    <t>'202401121428</t>
  </si>
  <si>
    <t>'202401160933</t>
  </si>
  <si>
    <t>'202401160940</t>
  </si>
  <si>
    <t>'202401160947</t>
  </si>
  <si>
    <t>'202401161003</t>
  </si>
  <si>
    <t>'202401161008</t>
  </si>
  <si>
    <t>'202401161030</t>
  </si>
  <si>
    <t>'202401161035</t>
  </si>
  <si>
    <t>'202401161127</t>
  </si>
  <si>
    <t>'202401161133</t>
  </si>
  <si>
    <t>'202401161140</t>
  </si>
  <si>
    <t>'202401161318</t>
  </si>
  <si>
    <t>'202401161324</t>
  </si>
  <si>
    <t>'202401161329</t>
  </si>
  <si>
    <t>'202401161336</t>
  </si>
  <si>
    <t>'202401170933</t>
  </si>
  <si>
    <t>'202401170941</t>
  </si>
  <si>
    <t>'202401170949</t>
  </si>
  <si>
    <t>'202401170955</t>
  </si>
  <si>
    <t>'202401171001</t>
  </si>
  <si>
    <t>'202401171008</t>
  </si>
  <si>
    <t>'202401171028</t>
  </si>
  <si>
    <t>'202401171040</t>
  </si>
  <si>
    <t>'202401171053</t>
  </si>
  <si>
    <t>'202401171118</t>
  </si>
  <si>
    <t>'202401171128</t>
  </si>
  <si>
    <t>'202401171206</t>
  </si>
  <si>
    <t>'202401171212</t>
  </si>
  <si>
    <t>'202401171217</t>
  </si>
  <si>
    <t>'202401171233</t>
  </si>
  <si>
    <t>'202401171241</t>
  </si>
  <si>
    <t>'202401171255</t>
  </si>
  <si>
    <t>'202401171313</t>
  </si>
  <si>
    <t>'202401171343</t>
  </si>
  <si>
    <t>'202401171519</t>
  </si>
  <si>
    <t>'202401171550</t>
  </si>
  <si>
    <t>'202401180933</t>
  </si>
  <si>
    <t>'202401180949</t>
  </si>
  <si>
    <t>'202401181021</t>
  </si>
  <si>
    <t>'202401181026</t>
  </si>
  <si>
    <t>'202401181044</t>
  </si>
  <si>
    <t>'202401181111</t>
  </si>
  <si>
    <t>'202401181119</t>
  </si>
  <si>
    <t>'202401181151</t>
  </si>
  <si>
    <t>'202401181156</t>
  </si>
  <si>
    <t>'202401181219</t>
  </si>
  <si>
    <t>'202401181229</t>
  </si>
  <si>
    <t>'202401181242</t>
  </si>
  <si>
    <t>'202401181254</t>
  </si>
  <si>
    <t>'202401181303</t>
  </si>
  <si>
    <t>'202401181326</t>
  </si>
  <si>
    <t>'202401181331</t>
  </si>
  <si>
    <t>'202401181434</t>
  </si>
  <si>
    <t>'202401181454</t>
  </si>
  <si>
    <t>'202401181503</t>
  </si>
  <si>
    <t>'202401181551</t>
  </si>
  <si>
    <t>'202401190947</t>
  </si>
  <si>
    <t>'202401190952</t>
  </si>
  <si>
    <t>'202401190959</t>
  </si>
  <si>
    <t>'202401191141</t>
  </si>
  <si>
    <t>'202401191157</t>
  </si>
  <si>
    <t>'202401191419</t>
  </si>
  <si>
    <t>'202401191441</t>
  </si>
  <si>
    <t>'202401191446</t>
  </si>
  <si>
    <t>'202401191456</t>
  </si>
  <si>
    <t>'202401220938</t>
  </si>
  <si>
    <t>'202401220945</t>
  </si>
  <si>
    <t>'202401221001</t>
  </si>
  <si>
    <t>'202401221008</t>
  </si>
  <si>
    <t>'202401221013</t>
  </si>
  <si>
    <t>'202401221034</t>
  </si>
  <si>
    <t>'202401221054</t>
  </si>
  <si>
    <t>'202401221100</t>
  </si>
  <si>
    <t>'202401221127</t>
  </si>
  <si>
    <t>'202401221139</t>
  </si>
  <si>
    <t>'202401221212</t>
  </si>
  <si>
    <t>'202401221218</t>
  </si>
  <si>
    <t>'202401221223</t>
  </si>
  <si>
    <t>'202401221246</t>
  </si>
  <si>
    <t>'202401221342</t>
  </si>
  <si>
    <t>'202401221414</t>
  </si>
  <si>
    <t>'202401221432</t>
  </si>
  <si>
    <t>'202401221440</t>
  </si>
  <si>
    <t>'202401230933</t>
  </si>
  <si>
    <t>'202401230938</t>
  </si>
  <si>
    <t>'202401231046</t>
  </si>
  <si>
    <t>'202401231051</t>
  </si>
  <si>
    <t>'202401231115</t>
  </si>
  <si>
    <t>'202401231142</t>
  </si>
  <si>
    <t>'202401231219</t>
  </si>
  <si>
    <t>'202401231242</t>
  </si>
  <si>
    <t>'202401231249</t>
  </si>
  <si>
    <t>'202401231316</t>
  </si>
  <si>
    <t>'202401231347</t>
  </si>
  <si>
    <t>'202401231433</t>
  </si>
  <si>
    <t>'202401231439</t>
  </si>
  <si>
    <t>'202401231543</t>
  </si>
  <si>
    <t>'202401231548</t>
  </si>
  <si>
    <t>'202401240941</t>
  </si>
  <si>
    <t>'202401240946</t>
  </si>
  <si>
    <t>'202401241056</t>
  </si>
  <si>
    <t>'202401241103</t>
  </si>
  <si>
    <t>'202401241150</t>
  </si>
  <si>
    <t>'202401241226</t>
  </si>
  <si>
    <t>'202401241240</t>
  </si>
  <si>
    <t>'202401241245</t>
  </si>
  <si>
    <t>'202401241418</t>
  </si>
  <si>
    <t>'202401241424</t>
  </si>
  <si>
    <t>'202401241429</t>
  </si>
  <si>
    <t>'202401241434</t>
  </si>
  <si>
    <t>'202401241457</t>
  </si>
  <si>
    <t>'202401241514</t>
  </si>
  <si>
    <t>LowerPricePerc</t>
  </si>
  <si>
    <t>UpperPricePerc</t>
  </si>
  <si>
    <t>BuyOrSell</t>
  </si>
  <si>
    <t>TempProfitLoss</t>
  </si>
  <si>
    <t>paypal</t>
  </si>
  <si>
    <t>shares</t>
  </si>
  <si>
    <t>price</t>
  </si>
  <si>
    <t>disney</t>
  </si>
  <si>
    <t>curr price</t>
  </si>
  <si>
    <t>total</t>
  </si>
  <si>
    <t>avg price</t>
  </si>
  <si>
    <t>total shares</t>
  </si>
  <si>
    <t>total cost</t>
  </si>
  <si>
    <t>'202310301221</t>
  </si>
  <si>
    <t>'202310301228</t>
  </si>
  <si>
    <t>'202310301234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</si>
</sst>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0.000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6" fontId="0" fillId="0" borderId="0" xfId="3" applyNumberFormat="1" applyFont="1"/>
    <xf numFmtId="166" fontId="18" fillId="0" borderId="0" xfId="3" applyNumberFormat="1" applyFont="1"/>
    <xf numFmtId="0" fontId="18" fillId="0" borderId="0" xfId="0" applyFont="1"/>
    <xf numFmtId="44" fontId="0" fillId="0" borderId="0" xfId="2" applyFont="1"/>
    <xf numFmtId="44" fontId="0" fillId="0" borderId="0" xfId="0" applyNumberFormat="1"/>
    <xf numFmtId="43" fontId="0" fillId="0" borderId="0" xfId="1" applyFont="1"/>
    <xf numFmtId="0" fontId="0" fillId="33" borderId="0" xfId="0" applyFill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5"/>
  <sheetViews>
    <sheetView tabSelected="1" workbookViewId="0">
      <pane ySplit="2" topLeftCell="A3" activePane="bottomLeft" state="frozen"/>
      <selection pane="bottomLeft" activeCell="Q97" sqref="Q97"/>
    </sheetView>
  </sheetViews>
  <sheetFormatPr baseColWidth="10" defaultRowHeight="16" x14ac:dyDescent="0.2"/>
  <cols>
    <col min="3" max="3" width="12.83203125" bestFit="1" customWidth="1"/>
    <col min="7" max="7" width="13.6640625" bestFit="1" customWidth="1"/>
    <col min="11" max="11" width="13.5" bestFit="1" customWidth="1"/>
    <col min="13" max="13" width="13.5" bestFit="1" customWidth="1"/>
    <col min="14" max="14" width="10.83203125" customWidth="1"/>
    <col min="15" max="16" width="13.6640625" style="1" bestFit="1" customWidth="1"/>
  </cols>
  <sheetData>
    <row r="1" spans="1:18" ht="19" x14ac:dyDescent="0.25">
      <c r="H1" s="3">
        <f>SUM(H3:H853)</f>
        <v>1149.8899999999849</v>
      </c>
      <c r="O1" s="2">
        <v>1E-4</v>
      </c>
      <c r="P1" s="2">
        <v>4.5999999999999999E-3</v>
      </c>
      <c r="Q1" s="3"/>
      <c r="R1" s="3">
        <f>SUM(R3:R853)</f>
        <v>1238.2400000000421</v>
      </c>
    </row>
    <row r="2" spans="1:1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1" t="s">
        <v>827</v>
      </c>
      <c r="P2" s="1" t="s">
        <v>828</v>
      </c>
      <c r="Q2" t="s">
        <v>829</v>
      </c>
      <c r="R2" t="s">
        <v>830</v>
      </c>
    </row>
    <row r="3" spans="1:18" x14ac:dyDescent="0.2">
      <c r="A3" t="s">
        <v>14</v>
      </c>
      <c r="B3">
        <v>20231030</v>
      </c>
      <c r="C3">
        <v>100000</v>
      </c>
      <c r="D3">
        <v>99965.66</v>
      </c>
      <c r="E3">
        <v>1221</v>
      </c>
      <c r="F3">
        <v>1224</v>
      </c>
      <c r="G3" t="s">
        <v>840</v>
      </c>
      <c r="H3">
        <v>-34.3399999999965</v>
      </c>
      <c r="I3">
        <v>3</v>
      </c>
      <c r="J3" t="s">
        <v>15</v>
      </c>
      <c r="K3">
        <v>197.92</v>
      </c>
      <c r="L3">
        <v>197.83</v>
      </c>
      <c r="M3">
        <v>200.04</v>
      </c>
      <c r="N3">
        <v>198.17</v>
      </c>
      <c r="O3" s="1">
        <f>(L3/K3)-1</f>
        <v>-4.5472918350830671E-4</v>
      </c>
      <c r="P3" s="1">
        <f>(M3/L3)-1</f>
        <v>1.1171207602486799E-2</v>
      </c>
      <c r="Q3" t="str">
        <f>IF(J3="SELL",IF(O3&gt;=$O$1,"SELL","IDLE"),IF(P3&gt;=$P$1,"BUY","IDLE"))</f>
        <v>IDLE</v>
      </c>
      <c r="R3">
        <f>IF(Q3&lt;&gt;"IDLE",H3,0)</f>
        <v>0</v>
      </c>
    </row>
    <row r="4" spans="1:18" x14ac:dyDescent="0.2">
      <c r="A4" t="s">
        <v>14</v>
      </c>
      <c r="B4">
        <v>20231030</v>
      </c>
      <c r="C4">
        <v>99965.66</v>
      </c>
      <c r="D4">
        <v>99937.66</v>
      </c>
      <c r="E4">
        <v>1228</v>
      </c>
      <c r="F4">
        <v>1230</v>
      </c>
      <c r="G4" t="s">
        <v>841</v>
      </c>
      <c r="H4">
        <v>-28</v>
      </c>
      <c r="I4">
        <v>2</v>
      </c>
      <c r="J4" t="s">
        <v>15</v>
      </c>
      <c r="K4">
        <v>197.83</v>
      </c>
      <c r="L4">
        <v>198.17</v>
      </c>
      <c r="M4">
        <v>198.39</v>
      </c>
      <c r="N4">
        <v>198.45</v>
      </c>
      <c r="O4" s="1">
        <f t="shared" ref="O4:O67" si="0">(L4/K4)-1</f>
        <v>1.718647323459388E-3</v>
      </c>
      <c r="P4" s="1">
        <f t="shared" ref="P4:P67" si="1">(M4/L4)-1</f>
        <v>1.1101579451986421E-3</v>
      </c>
      <c r="Q4" t="str">
        <f t="shared" ref="Q4:Q67" si="2">IF(J4="SELL",IF(O4&gt;=$O$1,"SELL","IDLE"),IF(P4&gt;=$P$1,"BUY","IDLE"))</f>
        <v>SELL</v>
      </c>
      <c r="R4">
        <f t="shared" ref="R4:R67" si="3">IF(Q4&lt;&gt;"IDLE",H4,0)</f>
        <v>-28</v>
      </c>
    </row>
    <row r="5" spans="1:18" x14ac:dyDescent="0.2">
      <c r="A5" t="s">
        <v>14</v>
      </c>
      <c r="B5">
        <v>20231030</v>
      </c>
      <c r="C5">
        <v>99937.66</v>
      </c>
      <c r="D5">
        <v>100127.66</v>
      </c>
      <c r="E5">
        <v>1234</v>
      </c>
      <c r="F5">
        <v>1250</v>
      </c>
      <c r="G5" t="s">
        <v>842</v>
      </c>
      <c r="H5">
        <v>190</v>
      </c>
      <c r="I5">
        <v>16</v>
      </c>
      <c r="J5" t="s">
        <v>15</v>
      </c>
      <c r="K5">
        <v>198.11</v>
      </c>
      <c r="L5">
        <v>198.32</v>
      </c>
      <c r="M5">
        <v>198.39</v>
      </c>
      <c r="N5">
        <v>196.42</v>
      </c>
      <c r="O5" s="1">
        <f t="shared" si="0"/>
        <v>1.0600171621826249E-3</v>
      </c>
      <c r="P5" s="1">
        <f t="shared" si="1"/>
        <v>3.5296490520364543E-4</v>
      </c>
      <c r="Q5" t="str">
        <f t="shared" si="2"/>
        <v>SELL</v>
      </c>
      <c r="R5">
        <f t="shared" si="3"/>
        <v>190</v>
      </c>
    </row>
    <row r="6" spans="1:18" x14ac:dyDescent="0.2">
      <c r="A6" t="s">
        <v>14</v>
      </c>
      <c r="B6">
        <v>20231030</v>
      </c>
      <c r="C6">
        <v>100127.66</v>
      </c>
      <c r="D6">
        <v>100150.1</v>
      </c>
      <c r="E6">
        <v>1254</v>
      </c>
      <c r="F6">
        <v>1257</v>
      </c>
      <c r="G6" t="s">
        <v>17</v>
      </c>
      <c r="H6">
        <v>22.4400000000023</v>
      </c>
      <c r="I6">
        <v>3</v>
      </c>
      <c r="J6" t="s">
        <v>15</v>
      </c>
      <c r="K6">
        <v>195.72</v>
      </c>
      <c r="L6">
        <v>195.56</v>
      </c>
      <c r="M6">
        <v>196.54</v>
      </c>
      <c r="N6">
        <v>195.34</v>
      </c>
      <c r="O6" s="1">
        <f t="shared" si="0"/>
        <v>-8.1749437972611361E-4</v>
      </c>
      <c r="P6" s="1">
        <f t="shared" si="1"/>
        <v>5.0112497443239867E-3</v>
      </c>
      <c r="Q6" t="str">
        <f t="shared" si="2"/>
        <v>IDLE</v>
      </c>
      <c r="R6">
        <f t="shared" si="3"/>
        <v>0</v>
      </c>
    </row>
    <row r="7" spans="1:18" x14ac:dyDescent="0.2">
      <c r="A7" t="s">
        <v>14</v>
      </c>
      <c r="B7">
        <v>20231030</v>
      </c>
      <c r="C7">
        <v>100150.1</v>
      </c>
      <c r="D7">
        <v>100107.26</v>
      </c>
      <c r="E7">
        <v>1301</v>
      </c>
      <c r="F7">
        <v>1305</v>
      </c>
      <c r="G7" t="s">
        <v>18</v>
      </c>
      <c r="H7">
        <v>-42.840000000011003</v>
      </c>
      <c r="I7">
        <v>4</v>
      </c>
      <c r="J7" t="s">
        <v>15</v>
      </c>
      <c r="K7">
        <v>195.01</v>
      </c>
      <c r="L7">
        <v>196.02</v>
      </c>
      <c r="M7">
        <v>196.42</v>
      </c>
      <c r="N7">
        <v>196.44</v>
      </c>
      <c r="O7" s="1">
        <f t="shared" si="0"/>
        <v>5.1792215783807993E-3</v>
      </c>
      <c r="P7" s="1">
        <f t="shared" si="1"/>
        <v>2.040608101214092E-3</v>
      </c>
      <c r="Q7" t="str">
        <f t="shared" si="2"/>
        <v>SELL</v>
      </c>
      <c r="R7">
        <f t="shared" si="3"/>
        <v>-42.840000000011003</v>
      </c>
    </row>
    <row r="8" spans="1:18" x14ac:dyDescent="0.2">
      <c r="A8" t="s">
        <v>14</v>
      </c>
      <c r="B8">
        <v>20231030</v>
      </c>
      <c r="C8">
        <v>100107.26</v>
      </c>
      <c r="D8">
        <v>100063.4</v>
      </c>
      <c r="E8">
        <v>1309</v>
      </c>
      <c r="F8">
        <v>1321</v>
      </c>
      <c r="G8" t="s">
        <v>19</v>
      </c>
      <c r="H8">
        <v>-43.860000000000497</v>
      </c>
      <c r="I8">
        <v>12</v>
      </c>
      <c r="J8" t="s">
        <v>15</v>
      </c>
      <c r="K8">
        <v>195.77</v>
      </c>
      <c r="L8">
        <v>195.92</v>
      </c>
      <c r="M8">
        <v>196.31</v>
      </c>
      <c r="N8">
        <v>196.35</v>
      </c>
      <c r="O8" s="1">
        <f t="shared" si="0"/>
        <v>7.6620524084369812E-4</v>
      </c>
      <c r="P8" s="1">
        <f t="shared" si="1"/>
        <v>1.990608411596595E-3</v>
      </c>
      <c r="Q8" t="str">
        <f t="shared" si="2"/>
        <v>SELL</v>
      </c>
      <c r="R8">
        <f t="shared" si="3"/>
        <v>-43.860000000000497</v>
      </c>
    </row>
    <row r="9" spans="1:18" x14ac:dyDescent="0.2">
      <c r="A9" t="s">
        <v>14</v>
      </c>
      <c r="B9">
        <v>20231030</v>
      </c>
      <c r="C9">
        <v>100063.4</v>
      </c>
      <c r="D9">
        <v>100040.17</v>
      </c>
      <c r="E9">
        <v>1325</v>
      </c>
      <c r="F9">
        <v>1326</v>
      </c>
      <c r="G9" t="s">
        <v>20</v>
      </c>
      <c r="H9">
        <v>-23.229999999995901</v>
      </c>
      <c r="I9">
        <v>1</v>
      </c>
      <c r="J9" t="s">
        <v>15</v>
      </c>
      <c r="K9">
        <v>195.44</v>
      </c>
      <c r="L9">
        <v>196.15</v>
      </c>
      <c r="M9">
        <v>196.43</v>
      </c>
      <c r="N9">
        <v>196.38</v>
      </c>
      <c r="O9" s="1">
        <f t="shared" si="0"/>
        <v>3.6328284895621454E-3</v>
      </c>
      <c r="P9" s="1">
        <f t="shared" si="1"/>
        <v>1.4274789701758106E-3</v>
      </c>
      <c r="Q9" t="str">
        <f t="shared" si="2"/>
        <v>SELL</v>
      </c>
      <c r="R9">
        <f t="shared" si="3"/>
        <v>-23.229999999995901</v>
      </c>
    </row>
    <row r="10" spans="1:18" x14ac:dyDescent="0.2">
      <c r="A10" t="s">
        <v>14</v>
      </c>
      <c r="B10">
        <v>20231030</v>
      </c>
      <c r="C10">
        <v>100040.17</v>
      </c>
      <c r="D10">
        <v>100032.09</v>
      </c>
      <c r="E10">
        <v>1427</v>
      </c>
      <c r="F10">
        <v>1438</v>
      </c>
      <c r="G10" t="s">
        <v>21</v>
      </c>
      <c r="H10">
        <v>-8.0800000000017391</v>
      </c>
      <c r="I10">
        <v>11</v>
      </c>
      <c r="J10" t="s">
        <v>15</v>
      </c>
      <c r="K10">
        <v>196.14</v>
      </c>
      <c r="L10">
        <v>196.28</v>
      </c>
      <c r="M10">
        <v>196.83</v>
      </c>
      <c r="N10">
        <v>196.36</v>
      </c>
      <c r="O10" s="1">
        <f t="shared" si="0"/>
        <v>7.1377587437559953E-4</v>
      </c>
      <c r="P10" s="1">
        <f t="shared" si="1"/>
        <v>2.8021194212350942E-3</v>
      </c>
      <c r="Q10" t="str">
        <f t="shared" si="2"/>
        <v>SELL</v>
      </c>
      <c r="R10">
        <f t="shared" si="3"/>
        <v>-8.0800000000017391</v>
      </c>
    </row>
    <row r="11" spans="1:18" x14ac:dyDescent="0.2">
      <c r="A11" t="s">
        <v>14</v>
      </c>
      <c r="B11">
        <v>20231030</v>
      </c>
      <c r="C11">
        <v>100032.09</v>
      </c>
      <c r="D11">
        <v>100011.89</v>
      </c>
      <c r="E11">
        <v>1442</v>
      </c>
      <c r="F11">
        <v>1443</v>
      </c>
      <c r="G11" t="s">
        <v>22</v>
      </c>
      <c r="H11">
        <v>-20.199999999997001</v>
      </c>
      <c r="I11">
        <v>1</v>
      </c>
      <c r="J11" t="s">
        <v>15</v>
      </c>
      <c r="K11">
        <v>195.85</v>
      </c>
      <c r="L11">
        <v>196.57</v>
      </c>
      <c r="M11">
        <v>196.58</v>
      </c>
      <c r="N11">
        <v>196.77</v>
      </c>
      <c r="O11" s="1">
        <f t="shared" si="0"/>
        <v>3.6762828695429128E-3</v>
      </c>
      <c r="P11" s="1">
        <f t="shared" si="1"/>
        <v>5.087246273594026E-5</v>
      </c>
      <c r="Q11" t="str">
        <f t="shared" si="2"/>
        <v>SELL</v>
      </c>
      <c r="R11">
        <f t="shared" si="3"/>
        <v>-20.199999999997001</v>
      </c>
    </row>
    <row r="12" spans="1:18" x14ac:dyDescent="0.2">
      <c r="A12" t="s">
        <v>14</v>
      </c>
      <c r="B12">
        <v>20231030</v>
      </c>
      <c r="C12">
        <v>100011.89</v>
      </c>
      <c r="D12">
        <v>99963.41</v>
      </c>
      <c r="E12">
        <v>1458</v>
      </c>
      <c r="F12">
        <v>1501</v>
      </c>
      <c r="G12" t="s">
        <v>23</v>
      </c>
      <c r="H12">
        <v>-48.479999999995897</v>
      </c>
      <c r="I12">
        <v>3</v>
      </c>
      <c r="J12" t="s">
        <v>15</v>
      </c>
      <c r="K12">
        <v>196.15</v>
      </c>
      <c r="L12">
        <v>196.38</v>
      </c>
      <c r="M12">
        <v>197.14</v>
      </c>
      <c r="N12">
        <v>196.86</v>
      </c>
      <c r="O12" s="1">
        <f t="shared" si="0"/>
        <v>1.1725720112158999E-3</v>
      </c>
      <c r="P12" s="1">
        <f t="shared" si="1"/>
        <v>3.8700478663815652E-3</v>
      </c>
      <c r="Q12" t="str">
        <f t="shared" si="2"/>
        <v>SELL</v>
      </c>
      <c r="R12">
        <f t="shared" si="3"/>
        <v>-48.479999999995897</v>
      </c>
    </row>
    <row r="13" spans="1:18" x14ac:dyDescent="0.2">
      <c r="A13" t="s">
        <v>14</v>
      </c>
      <c r="B13">
        <v>20231030</v>
      </c>
      <c r="C13">
        <v>99963.41</v>
      </c>
      <c r="D13">
        <v>99937.15</v>
      </c>
      <c r="E13">
        <v>1505</v>
      </c>
      <c r="F13">
        <v>1506</v>
      </c>
      <c r="G13" t="s">
        <v>24</v>
      </c>
      <c r="H13">
        <v>-26.260000000009299</v>
      </c>
      <c r="I13">
        <v>1</v>
      </c>
      <c r="J13" t="s">
        <v>15</v>
      </c>
      <c r="K13">
        <v>196.18</v>
      </c>
      <c r="L13">
        <v>196.95</v>
      </c>
      <c r="M13">
        <v>197.02</v>
      </c>
      <c r="N13">
        <v>197.21</v>
      </c>
      <c r="O13" s="1">
        <f t="shared" si="0"/>
        <v>3.9249668671628157E-3</v>
      </c>
      <c r="P13" s="1">
        <f t="shared" si="1"/>
        <v>3.5542015740053223E-4</v>
      </c>
      <c r="Q13" t="str">
        <f t="shared" si="2"/>
        <v>SELL</v>
      </c>
      <c r="R13">
        <f t="shared" si="3"/>
        <v>-26.260000000009299</v>
      </c>
    </row>
    <row r="14" spans="1:18" x14ac:dyDescent="0.2">
      <c r="A14" t="s">
        <v>14</v>
      </c>
      <c r="B14">
        <v>20231031</v>
      </c>
      <c r="C14">
        <v>99937.15</v>
      </c>
      <c r="D14">
        <v>99879.01</v>
      </c>
      <c r="E14">
        <v>938</v>
      </c>
      <c r="F14">
        <v>939</v>
      </c>
      <c r="G14" t="s">
        <v>25</v>
      </c>
      <c r="H14">
        <v>-58.139999999999397</v>
      </c>
      <c r="I14">
        <v>1</v>
      </c>
      <c r="J14" t="s">
        <v>15</v>
      </c>
      <c r="K14">
        <v>194.58</v>
      </c>
      <c r="L14">
        <v>194.84</v>
      </c>
      <c r="M14">
        <v>197.75</v>
      </c>
      <c r="N14">
        <v>195.41</v>
      </c>
      <c r="O14" s="1">
        <f t="shared" si="0"/>
        <v>1.3362113269606013E-3</v>
      </c>
      <c r="P14" s="1">
        <f t="shared" si="1"/>
        <v>1.4935331554095654E-2</v>
      </c>
      <c r="Q14" t="str">
        <f t="shared" si="2"/>
        <v>SELL</v>
      </c>
      <c r="R14">
        <f t="shared" si="3"/>
        <v>-58.139999999999397</v>
      </c>
    </row>
    <row r="15" spans="1:18" x14ac:dyDescent="0.2">
      <c r="A15" t="s">
        <v>14</v>
      </c>
      <c r="B15">
        <v>20231031</v>
      </c>
      <c r="C15">
        <v>99879.01</v>
      </c>
      <c r="D15">
        <v>99772.96</v>
      </c>
      <c r="E15">
        <v>943</v>
      </c>
      <c r="F15">
        <v>945</v>
      </c>
      <c r="G15" t="s">
        <v>26</v>
      </c>
      <c r="H15">
        <v>-106.049999999988</v>
      </c>
      <c r="I15">
        <v>2</v>
      </c>
      <c r="J15" t="s">
        <v>15</v>
      </c>
      <c r="K15">
        <v>194.51</v>
      </c>
      <c r="L15">
        <v>197.18</v>
      </c>
      <c r="M15">
        <v>197.14</v>
      </c>
      <c r="N15">
        <v>198.23</v>
      </c>
      <c r="O15" s="1">
        <f t="shared" si="0"/>
        <v>1.3726800678628415E-2</v>
      </c>
      <c r="P15" s="1">
        <f t="shared" si="1"/>
        <v>-2.0286033066241327E-4</v>
      </c>
      <c r="Q15" t="str">
        <f t="shared" si="2"/>
        <v>SELL</v>
      </c>
      <c r="R15">
        <f t="shared" si="3"/>
        <v>-106.049999999988</v>
      </c>
    </row>
    <row r="16" spans="1:18" x14ac:dyDescent="0.2">
      <c r="A16" t="s">
        <v>14</v>
      </c>
      <c r="B16">
        <v>20231031</v>
      </c>
      <c r="C16">
        <v>99772.96</v>
      </c>
      <c r="D16">
        <v>99760.960000000006</v>
      </c>
      <c r="E16">
        <v>1019</v>
      </c>
      <c r="F16">
        <v>1026</v>
      </c>
      <c r="G16" t="s">
        <v>27</v>
      </c>
      <c r="H16">
        <v>-12</v>
      </c>
      <c r="I16">
        <v>7</v>
      </c>
      <c r="J16" t="s">
        <v>16</v>
      </c>
      <c r="K16">
        <v>199.5</v>
      </c>
      <c r="L16">
        <v>199.76</v>
      </c>
      <c r="M16">
        <v>200.57</v>
      </c>
      <c r="N16">
        <v>199.64</v>
      </c>
      <c r="O16" s="1">
        <f t="shared" si="0"/>
        <v>1.3032581453633618E-3</v>
      </c>
      <c r="P16" s="1">
        <f t="shared" si="1"/>
        <v>4.054865839006716E-3</v>
      </c>
      <c r="Q16" t="str">
        <f t="shared" si="2"/>
        <v>IDLE</v>
      </c>
      <c r="R16">
        <f t="shared" si="3"/>
        <v>0</v>
      </c>
    </row>
    <row r="17" spans="1:18" x14ac:dyDescent="0.2">
      <c r="A17" t="s">
        <v>14</v>
      </c>
      <c r="B17">
        <v>20231031</v>
      </c>
      <c r="C17">
        <v>99760.960000000006</v>
      </c>
      <c r="D17">
        <v>99722.96</v>
      </c>
      <c r="E17">
        <v>1030</v>
      </c>
      <c r="F17">
        <v>1031</v>
      </c>
      <c r="G17" t="s">
        <v>28</v>
      </c>
      <c r="H17">
        <v>-38</v>
      </c>
      <c r="I17">
        <v>1</v>
      </c>
      <c r="J17" t="s">
        <v>16</v>
      </c>
      <c r="K17">
        <v>199.16</v>
      </c>
      <c r="L17">
        <v>199.35</v>
      </c>
      <c r="M17">
        <v>200.48</v>
      </c>
      <c r="N17">
        <v>198.97</v>
      </c>
      <c r="O17" s="1">
        <f t="shared" si="0"/>
        <v>9.5400682868040931E-4</v>
      </c>
      <c r="P17" s="1">
        <f t="shared" si="1"/>
        <v>5.668422372711257E-3</v>
      </c>
      <c r="Q17" t="str">
        <f t="shared" si="2"/>
        <v>BUY</v>
      </c>
      <c r="R17">
        <f t="shared" si="3"/>
        <v>-38</v>
      </c>
    </row>
    <row r="18" spans="1:18" x14ac:dyDescent="0.2">
      <c r="A18" t="s">
        <v>14</v>
      </c>
      <c r="B18">
        <v>20231031</v>
      </c>
      <c r="C18">
        <v>99722.96</v>
      </c>
      <c r="D18">
        <v>99684.96</v>
      </c>
      <c r="E18">
        <v>1055</v>
      </c>
      <c r="F18">
        <v>1056</v>
      </c>
      <c r="G18" t="s">
        <v>29</v>
      </c>
      <c r="H18">
        <v>-38</v>
      </c>
      <c r="I18">
        <v>1</v>
      </c>
      <c r="J18" t="s">
        <v>16</v>
      </c>
      <c r="K18">
        <v>197.84</v>
      </c>
      <c r="L18">
        <v>199.27</v>
      </c>
      <c r="M18">
        <v>199.39</v>
      </c>
      <c r="N18">
        <v>198.89</v>
      </c>
      <c r="O18" s="1">
        <f t="shared" si="0"/>
        <v>7.2280630812777691E-3</v>
      </c>
      <c r="P18" s="1">
        <f t="shared" si="1"/>
        <v>6.0219802278305146E-4</v>
      </c>
      <c r="Q18" t="str">
        <f t="shared" si="2"/>
        <v>IDLE</v>
      </c>
      <c r="R18">
        <f t="shared" si="3"/>
        <v>0</v>
      </c>
    </row>
    <row r="19" spans="1:18" x14ac:dyDescent="0.2">
      <c r="A19" t="s">
        <v>14</v>
      </c>
      <c r="B19">
        <v>20231031</v>
      </c>
      <c r="C19">
        <v>99684.96</v>
      </c>
      <c r="D19">
        <v>99665.96</v>
      </c>
      <c r="E19">
        <v>1100</v>
      </c>
      <c r="F19">
        <v>1111</v>
      </c>
      <c r="G19" t="s">
        <v>30</v>
      </c>
      <c r="H19">
        <v>-19</v>
      </c>
      <c r="I19">
        <v>11</v>
      </c>
      <c r="J19" t="s">
        <v>16</v>
      </c>
      <c r="K19">
        <v>198.31</v>
      </c>
      <c r="L19">
        <v>198.66</v>
      </c>
      <c r="M19">
        <v>199.5</v>
      </c>
      <c r="N19">
        <v>198.47</v>
      </c>
      <c r="O19" s="1">
        <f t="shared" si="0"/>
        <v>1.7649135192374654E-3</v>
      </c>
      <c r="P19" s="1">
        <f t="shared" si="1"/>
        <v>4.2283298097252064E-3</v>
      </c>
      <c r="Q19" t="str">
        <f t="shared" si="2"/>
        <v>IDLE</v>
      </c>
      <c r="R19">
        <f t="shared" si="3"/>
        <v>0</v>
      </c>
    </row>
    <row r="20" spans="1:18" x14ac:dyDescent="0.2">
      <c r="A20" t="s">
        <v>14</v>
      </c>
      <c r="B20">
        <v>20231031</v>
      </c>
      <c r="C20">
        <v>99665.96</v>
      </c>
      <c r="D20">
        <v>99594.96</v>
      </c>
      <c r="E20">
        <v>1115</v>
      </c>
      <c r="F20">
        <v>1116</v>
      </c>
      <c r="G20" t="s">
        <v>31</v>
      </c>
      <c r="H20">
        <v>-71</v>
      </c>
      <c r="I20">
        <v>1</v>
      </c>
      <c r="J20" t="s">
        <v>16</v>
      </c>
      <c r="K20">
        <v>198.35</v>
      </c>
      <c r="L20">
        <v>198.5</v>
      </c>
      <c r="M20">
        <v>199.21</v>
      </c>
      <c r="N20">
        <v>197.79</v>
      </c>
      <c r="O20" s="1">
        <f t="shared" si="0"/>
        <v>7.5623897151499975E-4</v>
      </c>
      <c r="P20" s="1">
        <f t="shared" si="1"/>
        <v>3.5768261964734815E-3</v>
      </c>
      <c r="Q20" t="str">
        <f t="shared" si="2"/>
        <v>IDLE</v>
      </c>
      <c r="R20">
        <f t="shared" si="3"/>
        <v>0</v>
      </c>
    </row>
    <row r="21" spans="1:18" x14ac:dyDescent="0.2">
      <c r="A21" t="s">
        <v>14</v>
      </c>
      <c r="B21">
        <v>20231031</v>
      </c>
      <c r="C21">
        <v>99594.96</v>
      </c>
      <c r="D21">
        <v>99586.96</v>
      </c>
      <c r="E21">
        <v>1203</v>
      </c>
      <c r="F21">
        <v>1208</v>
      </c>
      <c r="G21" t="s">
        <v>32</v>
      </c>
      <c r="H21">
        <v>-8</v>
      </c>
      <c r="I21">
        <v>5</v>
      </c>
      <c r="J21" t="s">
        <v>16</v>
      </c>
      <c r="K21">
        <v>197.46</v>
      </c>
      <c r="L21">
        <v>198.2</v>
      </c>
      <c r="M21">
        <v>198.4</v>
      </c>
      <c r="N21">
        <v>198.12</v>
      </c>
      <c r="O21" s="1">
        <f t="shared" si="0"/>
        <v>3.7475944495086733E-3</v>
      </c>
      <c r="P21" s="1">
        <f t="shared" si="1"/>
        <v>1.0090817356207538E-3</v>
      </c>
      <c r="Q21" t="str">
        <f t="shared" si="2"/>
        <v>IDLE</v>
      </c>
      <c r="R21">
        <f t="shared" si="3"/>
        <v>0</v>
      </c>
    </row>
    <row r="22" spans="1:18" x14ac:dyDescent="0.2">
      <c r="A22" t="s">
        <v>14</v>
      </c>
      <c r="B22">
        <v>20231031</v>
      </c>
      <c r="C22">
        <v>99586.96</v>
      </c>
      <c r="D22">
        <v>99555.96</v>
      </c>
      <c r="E22">
        <v>1212</v>
      </c>
      <c r="F22">
        <v>1213</v>
      </c>
      <c r="G22" t="s">
        <v>33</v>
      </c>
      <c r="H22">
        <v>-31</v>
      </c>
      <c r="I22">
        <v>1</v>
      </c>
      <c r="J22" t="s">
        <v>16</v>
      </c>
      <c r="K22">
        <v>198.17</v>
      </c>
      <c r="L22">
        <v>198.49</v>
      </c>
      <c r="M22">
        <v>198.53</v>
      </c>
      <c r="N22">
        <v>198.18</v>
      </c>
      <c r="O22" s="1">
        <f t="shared" si="0"/>
        <v>1.6147751930162269E-3</v>
      </c>
      <c r="P22" s="1">
        <f t="shared" si="1"/>
        <v>2.0152148722862862E-4</v>
      </c>
      <c r="Q22" t="str">
        <f t="shared" si="2"/>
        <v>IDLE</v>
      </c>
      <c r="R22">
        <f t="shared" si="3"/>
        <v>0</v>
      </c>
    </row>
    <row r="23" spans="1:18" x14ac:dyDescent="0.2">
      <c r="A23" t="s">
        <v>14</v>
      </c>
      <c r="B23">
        <v>20231031</v>
      </c>
      <c r="C23">
        <v>99555.96</v>
      </c>
      <c r="D23">
        <v>99599.96</v>
      </c>
      <c r="E23">
        <v>1238</v>
      </c>
      <c r="F23">
        <v>1302</v>
      </c>
      <c r="G23" t="s">
        <v>34</v>
      </c>
      <c r="H23">
        <v>44</v>
      </c>
      <c r="I23">
        <v>24</v>
      </c>
      <c r="J23" t="s">
        <v>16</v>
      </c>
      <c r="K23">
        <v>197.46</v>
      </c>
      <c r="L23">
        <v>198.35</v>
      </c>
      <c r="M23">
        <v>198.17</v>
      </c>
      <c r="N23">
        <v>198.79</v>
      </c>
      <c r="O23" s="1">
        <f t="shared" si="0"/>
        <v>4.5072419730578517E-3</v>
      </c>
      <c r="P23" s="1">
        <f t="shared" si="1"/>
        <v>-9.0748676581797749E-4</v>
      </c>
      <c r="Q23" t="str">
        <f t="shared" si="2"/>
        <v>IDLE</v>
      </c>
      <c r="R23">
        <f t="shared" si="3"/>
        <v>0</v>
      </c>
    </row>
    <row r="24" spans="1:18" x14ac:dyDescent="0.2">
      <c r="A24" t="s">
        <v>14</v>
      </c>
      <c r="B24">
        <v>20231031</v>
      </c>
      <c r="C24">
        <v>99599.96</v>
      </c>
      <c r="D24">
        <v>99551.96</v>
      </c>
      <c r="E24">
        <v>1306</v>
      </c>
      <c r="F24">
        <v>1312</v>
      </c>
      <c r="G24" t="s">
        <v>35</v>
      </c>
      <c r="H24">
        <v>-48</v>
      </c>
      <c r="I24">
        <v>6</v>
      </c>
      <c r="J24" t="s">
        <v>16</v>
      </c>
      <c r="K24">
        <v>198.63</v>
      </c>
      <c r="L24">
        <v>199.04</v>
      </c>
      <c r="M24">
        <v>199.34</v>
      </c>
      <c r="N24">
        <v>198.56</v>
      </c>
      <c r="O24" s="1">
        <f t="shared" si="0"/>
        <v>2.0641393545788311E-3</v>
      </c>
      <c r="P24" s="1">
        <f t="shared" si="1"/>
        <v>1.5072347266882336E-3</v>
      </c>
      <c r="Q24" t="str">
        <f t="shared" si="2"/>
        <v>IDLE</v>
      </c>
      <c r="R24">
        <f t="shared" si="3"/>
        <v>0</v>
      </c>
    </row>
    <row r="25" spans="1:18" x14ac:dyDescent="0.2">
      <c r="A25" t="s">
        <v>14</v>
      </c>
      <c r="B25">
        <v>20231031</v>
      </c>
      <c r="C25">
        <v>99551.96</v>
      </c>
      <c r="D25">
        <v>99545.96</v>
      </c>
      <c r="E25">
        <v>1316</v>
      </c>
      <c r="F25">
        <v>1318</v>
      </c>
      <c r="G25" t="s">
        <v>36</v>
      </c>
      <c r="H25">
        <v>-6</v>
      </c>
      <c r="I25">
        <v>2</v>
      </c>
      <c r="J25" t="s">
        <v>16</v>
      </c>
      <c r="K25">
        <v>198.76</v>
      </c>
      <c r="L25">
        <v>199</v>
      </c>
      <c r="M25">
        <v>199.21</v>
      </c>
      <c r="N25">
        <v>198.94</v>
      </c>
      <c r="O25" s="1">
        <f t="shared" si="0"/>
        <v>1.2074864157778364E-3</v>
      </c>
      <c r="P25" s="1">
        <f t="shared" si="1"/>
        <v>1.0552763819096089E-3</v>
      </c>
      <c r="Q25" t="str">
        <f t="shared" si="2"/>
        <v>IDLE</v>
      </c>
      <c r="R25">
        <f t="shared" si="3"/>
        <v>0</v>
      </c>
    </row>
    <row r="26" spans="1:18" x14ac:dyDescent="0.2">
      <c r="A26" t="s">
        <v>14</v>
      </c>
      <c r="B26">
        <v>20231031</v>
      </c>
      <c r="C26">
        <v>99545.96</v>
      </c>
      <c r="D26">
        <v>99803.96</v>
      </c>
      <c r="E26">
        <v>1322</v>
      </c>
      <c r="F26">
        <v>1410</v>
      </c>
      <c r="G26" t="s">
        <v>37</v>
      </c>
      <c r="H26">
        <v>258</v>
      </c>
      <c r="I26">
        <v>48</v>
      </c>
      <c r="J26" t="s">
        <v>16</v>
      </c>
      <c r="K26">
        <v>198.91</v>
      </c>
      <c r="L26">
        <v>199.2</v>
      </c>
      <c r="M26">
        <v>199.14</v>
      </c>
      <c r="N26">
        <v>201.78</v>
      </c>
      <c r="O26" s="1">
        <f t="shared" si="0"/>
        <v>1.4579458046353189E-3</v>
      </c>
      <c r="P26" s="1">
        <f t="shared" si="1"/>
        <v>-3.0120481927708997E-4</v>
      </c>
      <c r="Q26" t="str">
        <f t="shared" si="2"/>
        <v>IDLE</v>
      </c>
      <c r="R26">
        <f t="shared" si="3"/>
        <v>0</v>
      </c>
    </row>
    <row r="27" spans="1:18" x14ac:dyDescent="0.2">
      <c r="A27" t="s">
        <v>14</v>
      </c>
      <c r="B27">
        <v>20231031</v>
      </c>
      <c r="C27">
        <v>99803.96</v>
      </c>
      <c r="D27">
        <v>99794.06</v>
      </c>
      <c r="E27">
        <v>1414</v>
      </c>
      <c r="F27">
        <v>1423</v>
      </c>
      <c r="G27" t="s">
        <v>38</v>
      </c>
      <c r="H27">
        <v>-9.9000000000087294</v>
      </c>
      <c r="I27">
        <v>9</v>
      </c>
      <c r="J27" t="s">
        <v>16</v>
      </c>
      <c r="K27">
        <v>201.71</v>
      </c>
      <c r="L27">
        <v>201.77</v>
      </c>
      <c r="M27">
        <v>202.37</v>
      </c>
      <c r="N27">
        <v>201.67</v>
      </c>
      <c r="O27" s="1">
        <f t="shared" si="0"/>
        <v>2.9745674483172557E-4</v>
      </c>
      <c r="P27" s="1">
        <f t="shared" si="1"/>
        <v>2.9736829062794179E-3</v>
      </c>
      <c r="Q27" t="str">
        <f t="shared" si="2"/>
        <v>IDLE</v>
      </c>
      <c r="R27">
        <f t="shared" si="3"/>
        <v>0</v>
      </c>
    </row>
    <row r="28" spans="1:18" x14ac:dyDescent="0.2">
      <c r="A28" t="s">
        <v>14</v>
      </c>
      <c r="B28">
        <v>20231031</v>
      </c>
      <c r="C28">
        <v>99794.06</v>
      </c>
      <c r="D28">
        <v>99763.37</v>
      </c>
      <c r="E28">
        <v>1504</v>
      </c>
      <c r="F28">
        <v>1505</v>
      </c>
      <c r="G28" t="s">
        <v>39</v>
      </c>
      <c r="H28">
        <v>-30.6900000000023</v>
      </c>
      <c r="I28">
        <v>1</v>
      </c>
      <c r="J28" t="s">
        <v>16</v>
      </c>
      <c r="K28">
        <v>201.51</v>
      </c>
      <c r="L28">
        <v>202.02</v>
      </c>
      <c r="M28">
        <v>202.11</v>
      </c>
      <c r="N28">
        <v>201.71</v>
      </c>
      <c r="O28" s="1">
        <f t="shared" si="0"/>
        <v>2.5308917671580389E-3</v>
      </c>
      <c r="P28" s="1">
        <f t="shared" si="1"/>
        <v>4.4550044550040191E-4</v>
      </c>
      <c r="Q28" t="str">
        <f t="shared" si="2"/>
        <v>IDLE</v>
      </c>
      <c r="R28">
        <f t="shared" si="3"/>
        <v>0</v>
      </c>
    </row>
    <row r="29" spans="1:18" x14ac:dyDescent="0.2">
      <c r="A29" t="s">
        <v>14</v>
      </c>
      <c r="B29">
        <v>20231031</v>
      </c>
      <c r="C29">
        <v>99763.37</v>
      </c>
      <c r="D29">
        <v>99767.33</v>
      </c>
      <c r="E29">
        <v>1509</v>
      </c>
      <c r="F29">
        <v>1520</v>
      </c>
      <c r="G29" t="s">
        <v>40</v>
      </c>
      <c r="H29">
        <v>3.9600000000064002</v>
      </c>
      <c r="I29">
        <v>11</v>
      </c>
      <c r="J29" t="s">
        <v>16</v>
      </c>
      <c r="K29">
        <v>201.53</v>
      </c>
      <c r="L29">
        <v>201.9</v>
      </c>
      <c r="M29">
        <v>202.13</v>
      </c>
      <c r="N29">
        <v>201.94</v>
      </c>
      <c r="O29" s="1">
        <f t="shared" si="0"/>
        <v>1.8359549446733681E-3</v>
      </c>
      <c r="P29" s="1">
        <f t="shared" si="1"/>
        <v>1.1391778107974204E-3</v>
      </c>
      <c r="Q29" t="str">
        <f t="shared" si="2"/>
        <v>IDLE</v>
      </c>
      <c r="R29">
        <f t="shared" si="3"/>
        <v>0</v>
      </c>
    </row>
    <row r="30" spans="1:18" x14ac:dyDescent="0.2">
      <c r="A30" t="s">
        <v>14</v>
      </c>
      <c r="B30">
        <v>20231101</v>
      </c>
      <c r="C30">
        <v>99767.33</v>
      </c>
      <c r="D30">
        <v>99900.98</v>
      </c>
      <c r="E30">
        <v>1046</v>
      </c>
      <c r="F30">
        <v>1057</v>
      </c>
      <c r="G30" t="s">
        <v>41</v>
      </c>
      <c r="H30">
        <v>133.64999999999401</v>
      </c>
      <c r="I30">
        <v>11</v>
      </c>
      <c r="J30" t="s">
        <v>15</v>
      </c>
      <c r="K30">
        <v>199.15</v>
      </c>
      <c r="L30">
        <v>200.03</v>
      </c>
      <c r="M30">
        <v>200.03</v>
      </c>
      <c r="N30">
        <v>198.68</v>
      </c>
      <c r="O30" s="1">
        <f t="shared" si="0"/>
        <v>4.4187798142103496E-3</v>
      </c>
      <c r="P30" s="1">
        <f t="shared" si="1"/>
        <v>0</v>
      </c>
      <c r="Q30" t="str">
        <f t="shared" si="2"/>
        <v>SELL</v>
      </c>
      <c r="R30">
        <f t="shared" si="3"/>
        <v>133.64999999999401</v>
      </c>
    </row>
    <row r="31" spans="1:18" x14ac:dyDescent="0.2">
      <c r="A31" t="s">
        <v>14</v>
      </c>
      <c r="B31">
        <v>20231101</v>
      </c>
      <c r="C31">
        <v>99900.98</v>
      </c>
      <c r="D31">
        <v>99866.98</v>
      </c>
      <c r="E31">
        <v>1101</v>
      </c>
      <c r="F31">
        <v>1102</v>
      </c>
      <c r="G31" t="s">
        <v>42</v>
      </c>
      <c r="H31">
        <v>-34</v>
      </c>
      <c r="I31">
        <v>1</v>
      </c>
      <c r="J31" t="s">
        <v>15</v>
      </c>
      <c r="K31">
        <v>198.19</v>
      </c>
      <c r="L31">
        <v>199.13</v>
      </c>
      <c r="M31">
        <v>199.07</v>
      </c>
      <c r="N31">
        <v>199.47</v>
      </c>
      <c r="O31" s="1">
        <f t="shared" si="0"/>
        <v>4.7429234572884393E-3</v>
      </c>
      <c r="P31" s="1">
        <f t="shared" si="1"/>
        <v>-3.0131070155181572E-4</v>
      </c>
      <c r="Q31" t="str">
        <f t="shared" si="2"/>
        <v>SELL</v>
      </c>
      <c r="R31">
        <f t="shared" si="3"/>
        <v>-34</v>
      </c>
    </row>
    <row r="32" spans="1:18" x14ac:dyDescent="0.2">
      <c r="A32" t="s">
        <v>14</v>
      </c>
      <c r="B32">
        <v>20231101</v>
      </c>
      <c r="C32">
        <v>99866.98</v>
      </c>
      <c r="D32">
        <v>99840.98</v>
      </c>
      <c r="E32">
        <v>1113</v>
      </c>
      <c r="F32">
        <v>1116</v>
      </c>
      <c r="G32" t="s">
        <v>43</v>
      </c>
      <c r="H32">
        <v>-26</v>
      </c>
      <c r="I32">
        <v>3</v>
      </c>
      <c r="J32" t="s">
        <v>15</v>
      </c>
      <c r="K32">
        <v>198.4</v>
      </c>
      <c r="L32">
        <v>198.48</v>
      </c>
      <c r="M32">
        <v>199.81</v>
      </c>
      <c r="N32">
        <v>198.74</v>
      </c>
      <c r="O32" s="1">
        <f t="shared" si="0"/>
        <v>4.0322580645146822E-4</v>
      </c>
      <c r="P32" s="1">
        <f t="shared" si="1"/>
        <v>6.7009270455462566E-3</v>
      </c>
      <c r="Q32" t="str">
        <f t="shared" si="2"/>
        <v>SELL</v>
      </c>
      <c r="R32">
        <f t="shared" si="3"/>
        <v>-26</v>
      </c>
    </row>
    <row r="33" spans="1:18" x14ac:dyDescent="0.2">
      <c r="A33" t="s">
        <v>14</v>
      </c>
      <c r="B33">
        <v>20231101</v>
      </c>
      <c r="C33">
        <v>99840.98</v>
      </c>
      <c r="D33">
        <v>99775.98</v>
      </c>
      <c r="E33">
        <v>1120</v>
      </c>
      <c r="F33">
        <v>1124</v>
      </c>
      <c r="G33" t="s">
        <v>44</v>
      </c>
      <c r="H33">
        <v>-65</v>
      </c>
      <c r="I33">
        <v>4</v>
      </c>
      <c r="J33" t="s">
        <v>15</v>
      </c>
      <c r="K33">
        <v>198.33</v>
      </c>
      <c r="L33">
        <v>198.24</v>
      </c>
      <c r="M33">
        <v>198.89</v>
      </c>
      <c r="N33">
        <v>198.89</v>
      </c>
      <c r="O33" s="1">
        <f t="shared" si="0"/>
        <v>-4.5378913931326537E-4</v>
      </c>
      <c r="P33" s="1">
        <f t="shared" si="1"/>
        <v>3.2788539144470441E-3</v>
      </c>
      <c r="Q33" t="str">
        <f t="shared" si="2"/>
        <v>IDLE</v>
      </c>
      <c r="R33">
        <f t="shared" si="3"/>
        <v>0</v>
      </c>
    </row>
    <row r="34" spans="1:18" x14ac:dyDescent="0.2">
      <c r="A34" t="s">
        <v>14</v>
      </c>
      <c r="B34">
        <v>20231101</v>
      </c>
      <c r="C34">
        <v>99775.98</v>
      </c>
      <c r="D34">
        <v>99738.98</v>
      </c>
      <c r="E34">
        <v>1128</v>
      </c>
      <c r="F34">
        <v>1130</v>
      </c>
      <c r="G34" t="s">
        <v>45</v>
      </c>
      <c r="H34">
        <v>-37</v>
      </c>
      <c r="I34">
        <v>2</v>
      </c>
      <c r="J34" t="s">
        <v>15</v>
      </c>
      <c r="K34">
        <v>198.2</v>
      </c>
      <c r="L34">
        <v>198.79</v>
      </c>
      <c r="M34">
        <v>198.95</v>
      </c>
      <c r="N34">
        <v>199.16</v>
      </c>
      <c r="O34" s="1">
        <f t="shared" si="0"/>
        <v>2.9767911200806463E-3</v>
      </c>
      <c r="P34" s="1">
        <f t="shared" si="1"/>
        <v>8.0486946023450301E-4</v>
      </c>
      <c r="Q34" t="str">
        <f t="shared" si="2"/>
        <v>SELL</v>
      </c>
      <c r="R34">
        <f t="shared" si="3"/>
        <v>-37</v>
      </c>
    </row>
    <row r="35" spans="1:18" x14ac:dyDescent="0.2">
      <c r="A35" t="s">
        <v>14</v>
      </c>
      <c r="B35">
        <v>20231101</v>
      </c>
      <c r="C35">
        <v>99738.98</v>
      </c>
      <c r="D35">
        <v>99704.33</v>
      </c>
      <c r="E35">
        <v>1207</v>
      </c>
      <c r="F35">
        <v>1209</v>
      </c>
      <c r="G35" t="s">
        <v>46</v>
      </c>
      <c r="H35">
        <v>-34.649999999994101</v>
      </c>
      <c r="I35">
        <v>2</v>
      </c>
      <c r="J35" t="s">
        <v>15</v>
      </c>
      <c r="K35">
        <v>199.86</v>
      </c>
      <c r="L35">
        <v>200.11</v>
      </c>
      <c r="M35">
        <v>200.79</v>
      </c>
      <c r="N35">
        <v>200.46</v>
      </c>
      <c r="O35" s="1">
        <f t="shared" si="0"/>
        <v>1.2508756129290255E-3</v>
      </c>
      <c r="P35" s="1">
        <f t="shared" si="1"/>
        <v>3.3981310279345145E-3</v>
      </c>
      <c r="Q35" t="str">
        <f t="shared" si="2"/>
        <v>SELL</v>
      </c>
      <c r="R35">
        <f t="shared" si="3"/>
        <v>-34.649999999994101</v>
      </c>
    </row>
    <row r="36" spans="1:18" x14ac:dyDescent="0.2">
      <c r="A36" t="s">
        <v>14</v>
      </c>
      <c r="B36">
        <v>20231101</v>
      </c>
      <c r="C36">
        <v>99704.33</v>
      </c>
      <c r="D36">
        <v>99699.38</v>
      </c>
      <c r="E36">
        <v>1338</v>
      </c>
      <c r="F36">
        <v>1339</v>
      </c>
      <c r="G36" t="s">
        <v>47</v>
      </c>
      <c r="H36">
        <v>-4.9499999999970896</v>
      </c>
      <c r="I36">
        <v>1</v>
      </c>
      <c r="J36" t="s">
        <v>15</v>
      </c>
      <c r="K36">
        <v>200.06</v>
      </c>
      <c r="L36">
        <v>200.69</v>
      </c>
      <c r="M36">
        <v>201.05</v>
      </c>
      <c r="N36">
        <v>200.74</v>
      </c>
      <c r="O36" s="1">
        <f t="shared" si="0"/>
        <v>3.1490552834150254E-3</v>
      </c>
      <c r="P36" s="1">
        <f t="shared" si="1"/>
        <v>1.7938113508397802E-3</v>
      </c>
      <c r="Q36" t="str">
        <f t="shared" si="2"/>
        <v>SELL</v>
      </c>
      <c r="R36">
        <f t="shared" si="3"/>
        <v>-4.9499999999970896</v>
      </c>
    </row>
    <row r="37" spans="1:18" x14ac:dyDescent="0.2">
      <c r="A37" t="s">
        <v>14</v>
      </c>
      <c r="B37">
        <v>20231101</v>
      </c>
      <c r="C37">
        <v>99699.38</v>
      </c>
      <c r="D37">
        <v>99670.67</v>
      </c>
      <c r="E37">
        <v>1403</v>
      </c>
      <c r="F37">
        <v>1404</v>
      </c>
      <c r="G37" t="s">
        <v>48</v>
      </c>
      <c r="H37">
        <v>-28.710000000006399</v>
      </c>
      <c r="I37">
        <v>1</v>
      </c>
      <c r="J37" t="s">
        <v>16</v>
      </c>
      <c r="K37">
        <v>201.19</v>
      </c>
      <c r="L37">
        <v>201.89</v>
      </c>
      <c r="M37">
        <v>202.19</v>
      </c>
      <c r="N37">
        <v>201.6</v>
      </c>
      <c r="O37" s="1">
        <f t="shared" si="0"/>
        <v>3.4792981758535735E-3</v>
      </c>
      <c r="P37" s="1">
        <f t="shared" si="1"/>
        <v>1.4859576997374724E-3</v>
      </c>
      <c r="Q37" t="str">
        <f t="shared" si="2"/>
        <v>IDLE</v>
      </c>
      <c r="R37">
        <f t="shared" si="3"/>
        <v>0</v>
      </c>
    </row>
    <row r="38" spans="1:18" x14ac:dyDescent="0.2">
      <c r="A38" t="s">
        <v>14</v>
      </c>
      <c r="B38">
        <v>20231101</v>
      </c>
      <c r="C38">
        <v>99670.67</v>
      </c>
      <c r="D38">
        <v>99660.87</v>
      </c>
      <c r="E38">
        <v>1432</v>
      </c>
      <c r="F38">
        <v>1438</v>
      </c>
      <c r="G38" t="s">
        <v>49</v>
      </c>
      <c r="H38">
        <v>-9.8000000000029104</v>
      </c>
      <c r="I38">
        <v>6</v>
      </c>
      <c r="J38" t="s">
        <v>16</v>
      </c>
      <c r="K38">
        <v>200.66</v>
      </c>
      <c r="L38">
        <v>202.13</v>
      </c>
      <c r="M38">
        <v>202.01</v>
      </c>
      <c r="N38">
        <v>202.03</v>
      </c>
      <c r="O38" s="1">
        <f t="shared" si="0"/>
        <v>7.3258247782317376E-3</v>
      </c>
      <c r="P38" s="1">
        <f t="shared" si="1"/>
        <v>-5.9367733636772613E-4</v>
      </c>
      <c r="Q38" t="str">
        <f t="shared" si="2"/>
        <v>IDLE</v>
      </c>
      <c r="R38">
        <f t="shared" si="3"/>
        <v>0</v>
      </c>
    </row>
    <row r="39" spans="1:18" x14ac:dyDescent="0.2">
      <c r="A39" t="s">
        <v>14</v>
      </c>
      <c r="B39">
        <v>20231101</v>
      </c>
      <c r="C39">
        <v>99660.87</v>
      </c>
      <c r="D39">
        <v>99725.55</v>
      </c>
      <c r="E39">
        <v>1457</v>
      </c>
      <c r="F39">
        <v>1505</v>
      </c>
      <c r="G39" t="s">
        <v>50</v>
      </c>
      <c r="H39">
        <v>64.680000000007496</v>
      </c>
      <c r="I39">
        <v>8</v>
      </c>
      <c r="J39" t="s">
        <v>16</v>
      </c>
      <c r="K39">
        <v>201.07</v>
      </c>
      <c r="L39">
        <v>203.24</v>
      </c>
      <c r="M39">
        <v>202.96</v>
      </c>
      <c r="N39">
        <v>203.9</v>
      </c>
      <c r="O39" s="1">
        <f t="shared" si="0"/>
        <v>1.0792261401502135E-2</v>
      </c>
      <c r="P39" s="1">
        <f t="shared" si="1"/>
        <v>-1.3776815587482893E-3</v>
      </c>
      <c r="Q39" t="str">
        <f t="shared" si="2"/>
        <v>IDLE</v>
      </c>
      <c r="R39">
        <f t="shared" si="3"/>
        <v>0</v>
      </c>
    </row>
    <row r="40" spans="1:18" x14ac:dyDescent="0.2">
      <c r="A40" t="s">
        <v>14</v>
      </c>
      <c r="B40">
        <v>20231101</v>
      </c>
      <c r="C40">
        <v>99725.55</v>
      </c>
      <c r="D40">
        <v>99673.17</v>
      </c>
      <c r="E40">
        <v>1509</v>
      </c>
      <c r="F40">
        <v>1514</v>
      </c>
      <c r="G40" t="s">
        <v>51</v>
      </c>
      <c r="H40">
        <v>-52.3800000000046</v>
      </c>
      <c r="I40">
        <v>5</v>
      </c>
      <c r="J40" t="s">
        <v>16</v>
      </c>
      <c r="K40">
        <v>203.7</v>
      </c>
      <c r="L40">
        <v>204.15</v>
      </c>
      <c r="M40">
        <v>204.57</v>
      </c>
      <c r="N40">
        <v>203.61</v>
      </c>
      <c r="O40" s="1">
        <f t="shared" si="0"/>
        <v>2.2091310751104487E-3</v>
      </c>
      <c r="P40" s="1">
        <f t="shared" si="1"/>
        <v>2.0573108008816732E-3</v>
      </c>
      <c r="Q40" t="str">
        <f t="shared" si="2"/>
        <v>IDLE</v>
      </c>
      <c r="R40">
        <f t="shared" si="3"/>
        <v>0</v>
      </c>
    </row>
    <row r="41" spans="1:18" x14ac:dyDescent="0.2">
      <c r="A41" t="s">
        <v>14</v>
      </c>
      <c r="B41">
        <v>20231101</v>
      </c>
      <c r="C41">
        <v>99673.17</v>
      </c>
      <c r="D41">
        <v>99689.83</v>
      </c>
      <c r="E41">
        <v>1518</v>
      </c>
      <c r="F41">
        <v>1527</v>
      </c>
      <c r="G41" t="s">
        <v>52</v>
      </c>
      <c r="H41">
        <v>16.6600000000034</v>
      </c>
      <c r="I41">
        <v>9</v>
      </c>
      <c r="J41" t="s">
        <v>16</v>
      </c>
      <c r="K41">
        <v>203.33</v>
      </c>
      <c r="L41">
        <v>203.62</v>
      </c>
      <c r="M41">
        <v>204.66</v>
      </c>
      <c r="N41">
        <v>203.79</v>
      </c>
      <c r="O41" s="1">
        <f t="shared" si="0"/>
        <v>1.4262528893915771E-3</v>
      </c>
      <c r="P41" s="1">
        <f t="shared" si="1"/>
        <v>5.1075532855318073E-3</v>
      </c>
      <c r="Q41" t="str">
        <f t="shared" si="2"/>
        <v>BUY</v>
      </c>
      <c r="R41">
        <f t="shared" si="3"/>
        <v>16.6600000000034</v>
      </c>
    </row>
    <row r="42" spans="1:18" x14ac:dyDescent="0.2">
      <c r="A42" t="s">
        <v>14</v>
      </c>
      <c r="B42">
        <v>20231101</v>
      </c>
      <c r="C42">
        <v>99689.83</v>
      </c>
      <c r="D42">
        <v>99801.38</v>
      </c>
      <c r="E42">
        <v>1531</v>
      </c>
      <c r="F42">
        <v>1557</v>
      </c>
      <c r="G42" t="s">
        <v>53</v>
      </c>
      <c r="H42">
        <v>111.550000000002</v>
      </c>
      <c r="I42">
        <v>26</v>
      </c>
      <c r="J42" t="s">
        <v>16</v>
      </c>
      <c r="K42">
        <v>203.83</v>
      </c>
      <c r="L42">
        <v>204.4</v>
      </c>
      <c r="M42">
        <v>204.47</v>
      </c>
      <c r="N42">
        <v>205.55</v>
      </c>
      <c r="O42" s="1">
        <f t="shared" si="0"/>
        <v>2.7964480204092368E-3</v>
      </c>
      <c r="P42" s="1">
        <f t="shared" si="1"/>
        <v>3.4246575342455898E-4</v>
      </c>
      <c r="Q42" t="str">
        <f t="shared" si="2"/>
        <v>IDLE</v>
      </c>
      <c r="R42">
        <f t="shared" si="3"/>
        <v>0</v>
      </c>
    </row>
    <row r="43" spans="1:18" x14ac:dyDescent="0.2">
      <c r="A43" t="s">
        <v>14</v>
      </c>
      <c r="B43">
        <v>20231102</v>
      </c>
      <c r="C43">
        <v>99801.38</v>
      </c>
      <c r="D43">
        <v>99729</v>
      </c>
      <c r="E43">
        <v>933</v>
      </c>
      <c r="F43">
        <v>934</v>
      </c>
      <c r="G43" t="s">
        <v>54</v>
      </c>
      <c r="H43">
        <v>-72.3800000000046</v>
      </c>
      <c r="I43">
        <v>1</v>
      </c>
      <c r="J43" t="s">
        <v>16</v>
      </c>
      <c r="K43">
        <v>203.4</v>
      </c>
      <c r="L43">
        <v>212.53</v>
      </c>
      <c r="M43">
        <v>213.09</v>
      </c>
      <c r="N43">
        <v>211.76</v>
      </c>
      <c r="O43" s="1">
        <f t="shared" si="0"/>
        <v>4.4886922320550582E-2</v>
      </c>
      <c r="P43" s="1">
        <f t="shared" si="1"/>
        <v>2.6349221286405822E-3</v>
      </c>
      <c r="Q43" t="str">
        <f t="shared" si="2"/>
        <v>IDLE</v>
      </c>
      <c r="R43">
        <f t="shared" si="3"/>
        <v>0</v>
      </c>
    </row>
    <row r="44" spans="1:18" x14ac:dyDescent="0.2">
      <c r="A44" t="s">
        <v>14</v>
      </c>
      <c r="B44">
        <v>20231102</v>
      </c>
      <c r="C44">
        <v>99729</v>
      </c>
      <c r="D44">
        <v>99763.41</v>
      </c>
      <c r="E44">
        <v>938</v>
      </c>
      <c r="F44">
        <v>942</v>
      </c>
      <c r="G44" t="s">
        <v>55</v>
      </c>
      <c r="H44">
        <v>34.4100000000034</v>
      </c>
      <c r="I44">
        <v>4</v>
      </c>
      <c r="J44" t="s">
        <v>16</v>
      </c>
      <c r="K44">
        <v>208.64</v>
      </c>
      <c r="L44">
        <v>214.33</v>
      </c>
      <c r="M44">
        <v>215.33</v>
      </c>
      <c r="N44">
        <v>214.7</v>
      </c>
      <c r="O44" s="1">
        <f t="shared" si="0"/>
        <v>2.7271855828221003E-2</v>
      </c>
      <c r="P44" s="1">
        <f t="shared" si="1"/>
        <v>4.6657024214995513E-3</v>
      </c>
      <c r="Q44" t="str">
        <f t="shared" si="2"/>
        <v>BUY</v>
      </c>
      <c r="R44">
        <f t="shared" si="3"/>
        <v>34.4100000000034</v>
      </c>
    </row>
    <row r="45" spans="1:18" x14ac:dyDescent="0.2">
      <c r="A45" t="s">
        <v>14</v>
      </c>
      <c r="B45">
        <v>20231102</v>
      </c>
      <c r="C45">
        <v>99763.41</v>
      </c>
      <c r="D45">
        <v>99733.05</v>
      </c>
      <c r="E45">
        <v>946</v>
      </c>
      <c r="F45">
        <v>947</v>
      </c>
      <c r="G45" t="s">
        <v>56</v>
      </c>
      <c r="H45">
        <v>-30.3600000000005</v>
      </c>
      <c r="I45">
        <v>1</v>
      </c>
      <c r="J45" t="s">
        <v>16</v>
      </c>
      <c r="K45">
        <v>214.01</v>
      </c>
      <c r="L45">
        <v>215.08</v>
      </c>
      <c r="M45">
        <v>215.78</v>
      </c>
      <c r="N45">
        <v>214.75</v>
      </c>
      <c r="O45" s="1">
        <f t="shared" si="0"/>
        <v>4.9997663660577008E-3</v>
      </c>
      <c r="P45" s="1">
        <f t="shared" si="1"/>
        <v>3.2546029384414865E-3</v>
      </c>
      <c r="Q45" t="str">
        <f t="shared" si="2"/>
        <v>IDLE</v>
      </c>
      <c r="R45">
        <f t="shared" si="3"/>
        <v>0</v>
      </c>
    </row>
    <row r="46" spans="1:18" x14ac:dyDescent="0.2">
      <c r="A46" t="s">
        <v>14</v>
      </c>
      <c r="B46">
        <v>20231102</v>
      </c>
      <c r="C46">
        <v>99733.05</v>
      </c>
      <c r="D46">
        <v>99697.17</v>
      </c>
      <c r="E46">
        <v>951</v>
      </c>
      <c r="F46">
        <v>952</v>
      </c>
      <c r="G46" t="s">
        <v>57</v>
      </c>
      <c r="H46">
        <v>-35.8800000000046</v>
      </c>
      <c r="I46">
        <v>1</v>
      </c>
      <c r="J46" t="s">
        <v>16</v>
      </c>
      <c r="K46">
        <v>214.35</v>
      </c>
      <c r="L46">
        <v>215.41</v>
      </c>
      <c r="M46">
        <v>215.77</v>
      </c>
      <c r="N46">
        <v>215.02</v>
      </c>
      <c r="O46" s="1">
        <f t="shared" si="0"/>
        <v>4.9451831117330869E-3</v>
      </c>
      <c r="P46" s="1">
        <f t="shared" si="1"/>
        <v>1.6712316048466125E-3</v>
      </c>
      <c r="Q46" t="str">
        <f t="shared" si="2"/>
        <v>IDLE</v>
      </c>
      <c r="R46">
        <f t="shared" si="3"/>
        <v>0</v>
      </c>
    </row>
    <row r="47" spans="1:18" x14ac:dyDescent="0.2">
      <c r="A47" t="s">
        <v>14</v>
      </c>
      <c r="B47">
        <v>20231102</v>
      </c>
      <c r="C47">
        <v>99697.17</v>
      </c>
      <c r="D47">
        <v>99644.73</v>
      </c>
      <c r="E47">
        <v>956</v>
      </c>
      <c r="F47">
        <v>958</v>
      </c>
      <c r="G47" t="s">
        <v>58</v>
      </c>
      <c r="H47">
        <v>-52.4400000000023</v>
      </c>
      <c r="I47">
        <v>2</v>
      </c>
      <c r="J47" t="s">
        <v>16</v>
      </c>
      <c r="K47">
        <v>214.25</v>
      </c>
      <c r="L47">
        <v>216.86</v>
      </c>
      <c r="M47">
        <v>216.56</v>
      </c>
      <c r="N47">
        <v>216.29</v>
      </c>
      <c r="O47" s="1">
        <f t="shared" si="0"/>
        <v>1.2182030338389715E-2</v>
      </c>
      <c r="P47" s="1">
        <f t="shared" si="1"/>
        <v>-1.3833809831228505E-3</v>
      </c>
      <c r="Q47" t="str">
        <f t="shared" si="2"/>
        <v>IDLE</v>
      </c>
      <c r="R47">
        <f t="shared" si="3"/>
        <v>0</v>
      </c>
    </row>
    <row r="48" spans="1:18" x14ac:dyDescent="0.2">
      <c r="A48" t="s">
        <v>14</v>
      </c>
      <c r="B48">
        <v>20231102</v>
      </c>
      <c r="C48">
        <v>99644.73</v>
      </c>
      <c r="D48">
        <v>99610.69</v>
      </c>
      <c r="E48">
        <v>1002</v>
      </c>
      <c r="F48">
        <v>1003</v>
      </c>
      <c r="G48" t="s">
        <v>59</v>
      </c>
      <c r="H48">
        <v>-34.039999999993597</v>
      </c>
      <c r="I48">
        <v>1</v>
      </c>
      <c r="J48" t="s">
        <v>16</v>
      </c>
      <c r="K48">
        <v>215.1</v>
      </c>
      <c r="L48">
        <v>215.18</v>
      </c>
      <c r="M48">
        <v>216.68</v>
      </c>
      <c r="N48">
        <v>214.81</v>
      </c>
      <c r="O48" s="1">
        <f t="shared" si="0"/>
        <v>3.7192003719210831E-4</v>
      </c>
      <c r="P48" s="1">
        <f t="shared" si="1"/>
        <v>6.9709080769588816E-3</v>
      </c>
      <c r="Q48" t="str">
        <f t="shared" si="2"/>
        <v>BUY</v>
      </c>
      <c r="R48">
        <f t="shared" si="3"/>
        <v>-34.039999999993597</v>
      </c>
    </row>
    <row r="49" spans="1:18" x14ac:dyDescent="0.2">
      <c r="A49" t="s">
        <v>14</v>
      </c>
      <c r="B49">
        <v>20231102</v>
      </c>
      <c r="C49">
        <v>99610.69</v>
      </c>
      <c r="D49">
        <v>99562.85</v>
      </c>
      <c r="E49">
        <v>1019</v>
      </c>
      <c r="F49">
        <v>1026</v>
      </c>
      <c r="G49" t="s">
        <v>60</v>
      </c>
      <c r="H49">
        <v>-47.8399999999965</v>
      </c>
      <c r="I49">
        <v>7</v>
      </c>
      <c r="J49" t="s">
        <v>16</v>
      </c>
      <c r="K49">
        <v>213.71</v>
      </c>
      <c r="L49">
        <v>216.17</v>
      </c>
      <c r="M49">
        <v>215.86</v>
      </c>
      <c r="N49">
        <v>215.65</v>
      </c>
      <c r="O49" s="1">
        <f t="shared" si="0"/>
        <v>1.1510926021243595E-2</v>
      </c>
      <c r="P49" s="1">
        <f t="shared" si="1"/>
        <v>-1.434056529583061E-3</v>
      </c>
      <c r="Q49" t="str">
        <f t="shared" si="2"/>
        <v>IDLE</v>
      </c>
      <c r="R49">
        <f t="shared" si="3"/>
        <v>0</v>
      </c>
    </row>
    <row r="50" spans="1:18" x14ac:dyDescent="0.2">
      <c r="A50" t="s">
        <v>14</v>
      </c>
      <c r="B50">
        <v>20231102</v>
      </c>
      <c r="C50">
        <v>99562.85</v>
      </c>
      <c r="D50">
        <v>99478.21</v>
      </c>
      <c r="E50">
        <v>1030</v>
      </c>
      <c r="F50">
        <v>1032</v>
      </c>
      <c r="G50" t="s">
        <v>61</v>
      </c>
      <c r="H50">
        <v>-84.639999999999404</v>
      </c>
      <c r="I50">
        <v>2</v>
      </c>
      <c r="J50" t="s">
        <v>16</v>
      </c>
      <c r="K50">
        <v>215.62</v>
      </c>
      <c r="L50">
        <v>216.66</v>
      </c>
      <c r="M50">
        <v>216.67</v>
      </c>
      <c r="N50">
        <v>215.74</v>
      </c>
      <c r="O50" s="1">
        <f t="shared" si="0"/>
        <v>4.823300250440532E-3</v>
      </c>
      <c r="P50" s="1">
        <f t="shared" si="1"/>
        <v>4.6155266315794918E-5</v>
      </c>
      <c r="Q50" t="str">
        <f t="shared" si="2"/>
        <v>IDLE</v>
      </c>
      <c r="R50">
        <f t="shared" si="3"/>
        <v>0</v>
      </c>
    </row>
    <row r="51" spans="1:18" x14ac:dyDescent="0.2">
      <c r="A51" t="s">
        <v>14</v>
      </c>
      <c r="B51">
        <v>20231102</v>
      </c>
      <c r="C51">
        <v>99478.21</v>
      </c>
      <c r="D51">
        <v>99511.33</v>
      </c>
      <c r="E51">
        <v>1036</v>
      </c>
      <c r="F51">
        <v>1045</v>
      </c>
      <c r="G51" t="s">
        <v>62</v>
      </c>
      <c r="H51">
        <v>33.119999999995301</v>
      </c>
      <c r="I51">
        <v>9</v>
      </c>
      <c r="J51" t="s">
        <v>16</v>
      </c>
      <c r="K51">
        <v>215.42</v>
      </c>
      <c r="L51">
        <v>215.49</v>
      </c>
      <c r="M51">
        <v>216.69</v>
      </c>
      <c r="N51">
        <v>215.85</v>
      </c>
      <c r="O51" s="1">
        <f t="shared" si="0"/>
        <v>3.2494661591320195E-4</v>
      </c>
      <c r="P51" s="1">
        <f t="shared" si="1"/>
        <v>5.5687038841709668E-3</v>
      </c>
      <c r="Q51" t="str">
        <f t="shared" si="2"/>
        <v>BUY</v>
      </c>
      <c r="R51">
        <f t="shared" si="3"/>
        <v>33.119999999995301</v>
      </c>
    </row>
    <row r="52" spans="1:18" x14ac:dyDescent="0.2">
      <c r="A52" t="s">
        <v>14</v>
      </c>
      <c r="B52">
        <v>20231102</v>
      </c>
      <c r="C52">
        <v>99511.33</v>
      </c>
      <c r="D52">
        <v>99557.33</v>
      </c>
      <c r="E52">
        <v>1049</v>
      </c>
      <c r="F52">
        <v>1100</v>
      </c>
      <c r="G52" t="s">
        <v>63</v>
      </c>
      <c r="H52">
        <v>46</v>
      </c>
      <c r="I52">
        <v>11</v>
      </c>
      <c r="J52" t="s">
        <v>16</v>
      </c>
      <c r="K52">
        <v>215.83</v>
      </c>
      <c r="L52">
        <v>215.95</v>
      </c>
      <c r="M52">
        <v>216.45</v>
      </c>
      <c r="N52">
        <v>216.45</v>
      </c>
      <c r="O52" s="1">
        <f t="shared" si="0"/>
        <v>5.5599314275123213E-4</v>
      </c>
      <c r="P52" s="1">
        <f t="shared" si="1"/>
        <v>2.3153507756425995E-3</v>
      </c>
      <c r="Q52" t="str">
        <f t="shared" si="2"/>
        <v>IDLE</v>
      </c>
      <c r="R52">
        <f t="shared" si="3"/>
        <v>0</v>
      </c>
    </row>
    <row r="53" spans="1:18" x14ac:dyDescent="0.2">
      <c r="A53" t="s">
        <v>14</v>
      </c>
      <c r="B53">
        <v>20231102</v>
      </c>
      <c r="C53">
        <v>99557.33</v>
      </c>
      <c r="D53">
        <v>99530.03</v>
      </c>
      <c r="E53">
        <v>1104</v>
      </c>
      <c r="F53">
        <v>1112</v>
      </c>
      <c r="G53" t="s">
        <v>64</v>
      </c>
      <c r="H53">
        <v>-27.3000000000029</v>
      </c>
      <c r="I53">
        <v>8</v>
      </c>
      <c r="J53" t="s">
        <v>16</v>
      </c>
      <c r="K53">
        <v>216.37</v>
      </c>
      <c r="L53">
        <v>217.44</v>
      </c>
      <c r="M53">
        <v>217.27</v>
      </c>
      <c r="N53">
        <v>217.14</v>
      </c>
      <c r="O53" s="1">
        <f t="shared" si="0"/>
        <v>4.9452327032397658E-3</v>
      </c>
      <c r="P53" s="1">
        <f t="shared" si="1"/>
        <v>-7.8182487122879785E-4</v>
      </c>
      <c r="Q53" t="str">
        <f t="shared" si="2"/>
        <v>IDLE</v>
      </c>
      <c r="R53">
        <f t="shared" si="3"/>
        <v>0</v>
      </c>
    </row>
    <row r="54" spans="1:18" x14ac:dyDescent="0.2">
      <c r="A54" t="s">
        <v>14</v>
      </c>
      <c r="B54">
        <v>20231102</v>
      </c>
      <c r="C54">
        <v>99530.03</v>
      </c>
      <c r="D54">
        <v>99485.87</v>
      </c>
      <c r="E54">
        <v>1116</v>
      </c>
      <c r="F54">
        <v>1126</v>
      </c>
      <c r="G54" t="s">
        <v>65</v>
      </c>
      <c r="H54">
        <v>-44.1600000000034</v>
      </c>
      <c r="I54">
        <v>10</v>
      </c>
      <c r="J54" t="s">
        <v>16</v>
      </c>
      <c r="K54">
        <v>216.91</v>
      </c>
      <c r="L54">
        <v>217.29</v>
      </c>
      <c r="M54">
        <v>217.6</v>
      </c>
      <c r="N54">
        <v>216.81</v>
      </c>
      <c r="O54" s="1">
        <f t="shared" si="0"/>
        <v>1.7518786593517799E-3</v>
      </c>
      <c r="P54" s="1">
        <f t="shared" si="1"/>
        <v>1.4266648258087766E-3</v>
      </c>
      <c r="Q54" t="str">
        <f t="shared" si="2"/>
        <v>IDLE</v>
      </c>
      <c r="R54">
        <f t="shared" si="3"/>
        <v>0</v>
      </c>
    </row>
    <row r="55" spans="1:18" x14ac:dyDescent="0.2">
      <c r="A55" t="s">
        <v>14</v>
      </c>
      <c r="B55">
        <v>20231102</v>
      </c>
      <c r="C55">
        <v>99485.87</v>
      </c>
      <c r="D55">
        <v>99448.15</v>
      </c>
      <c r="E55">
        <v>1150</v>
      </c>
      <c r="F55">
        <v>1151</v>
      </c>
      <c r="G55" t="s">
        <v>66</v>
      </c>
      <c r="H55">
        <v>-37.7200000000011</v>
      </c>
      <c r="I55">
        <v>1</v>
      </c>
      <c r="J55" t="s">
        <v>16</v>
      </c>
      <c r="K55">
        <v>215.88</v>
      </c>
      <c r="L55">
        <v>217.15</v>
      </c>
      <c r="M55">
        <v>217.04</v>
      </c>
      <c r="N55">
        <v>216.74</v>
      </c>
      <c r="O55" s="1">
        <f t="shared" si="0"/>
        <v>5.8828979062441888E-3</v>
      </c>
      <c r="P55" s="1">
        <f t="shared" si="1"/>
        <v>-5.065622841354811E-4</v>
      </c>
      <c r="Q55" t="str">
        <f t="shared" si="2"/>
        <v>IDLE</v>
      </c>
      <c r="R55">
        <f t="shared" si="3"/>
        <v>0</v>
      </c>
    </row>
    <row r="56" spans="1:18" x14ac:dyDescent="0.2">
      <c r="A56" t="s">
        <v>14</v>
      </c>
      <c r="B56">
        <v>20231102</v>
      </c>
      <c r="C56">
        <v>99448.15</v>
      </c>
      <c r="D56">
        <v>99528.19</v>
      </c>
      <c r="E56">
        <v>1155</v>
      </c>
      <c r="F56">
        <v>1217</v>
      </c>
      <c r="G56" t="s">
        <v>67</v>
      </c>
      <c r="H56">
        <v>80.040000000008106</v>
      </c>
      <c r="I56">
        <v>22</v>
      </c>
      <c r="J56" t="s">
        <v>16</v>
      </c>
      <c r="K56">
        <v>216.39</v>
      </c>
      <c r="L56">
        <v>216.55</v>
      </c>
      <c r="M56">
        <v>217.01</v>
      </c>
      <c r="N56">
        <v>217.42</v>
      </c>
      <c r="O56" s="1">
        <f t="shared" si="0"/>
        <v>7.3940570266661787E-4</v>
      </c>
      <c r="P56" s="1">
        <f t="shared" si="1"/>
        <v>2.1242207342413444E-3</v>
      </c>
      <c r="Q56" t="str">
        <f t="shared" si="2"/>
        <v>IDLE</v>
      </c>
      <c r="R56">
        <f t="shared" si="3"/>
        <v>0</v>
      </c>
    </row>
    <row r="57" spans="1:18" x14ac:dyDescent="0.2">
      <c r="A57" t="s">
        <v>14</v>
      </c>
      <c r="B57">
        <v>20231102</v>
      </c>
      <c r="C57">
        <v>99528.19</v>
      </c>
      <c r="D57">
        <v>99497.83</v>
      </c>
      <c r="E57">
        <v>1221</v>
      </c>
      <c r="F57">
        <v>1226</v>
      </c>
      <c r="G57" t="s">
        <v>68</v>
      </c>
      <c r="H57">
        <v>-30.3600000000005</v>
      </c>
      <c r="I57">
        <v>5</v>
      </c>
      <c r="J57" t="s">
        <v>16</v>
      </c>
      <c r="K57">
        <v>217.19</v>
      </c>
      <c r="L57">
        <v>217.07</v>
      </c>
      <c r="M57">
        <v>218.03</v>
      </c>
      <c r="N57">
        <v>216.74</v>
      </c>
      <c r="O57" s="1">
        <f t="shared" si="0"/>
        <v>-5.5251162576552826E-4</v>
      </c>
      <c r="P57" s="1">
        <f t="shared" si="1"/>
        <v>4.4225365089602953E-3</v>
      </c>
      <c r="Q57" t="str">
        <f t="shared" si="2"/>
        <v>IDLE</v>
      </c>
      <c r="R57">
        <f t="shared" si="3"/>
        <v>0</v>
      </c>
    </row>
    <row r="58" spans="1:18" x14ac:dyDescent="0.2">
      <c r="A58" t="s">
        <v>14</v>
      </c>
      <c r="B58">
        <v>20231102</v>
      </c>
      <c r="C58">
        <v>99497.83</v>
      </c>
      <c r="D58">
        <v>99480.54</v>
      </c>
      <c r="E58">
        <v>1247</v>
      </c>
      <c r="F58">
        <v>1249</v>
      </c>
      <c r="G58" t="s">
        <v>69</v>
      </c>
      <c r="H58">
        <v>-17.290000000008099</v>
      </c>
      <c r="I58">
        <v>2</v>
      </c>
      <c r="J58" t="s">
        <v>16</v>
      </c>
      <c r="K58">
        <v>217.13</v>
      </c>
      <c r="L58">
        <v>217.65</v>
      </c>
      <c r="M58">
        <v>217.68</v>
      </c>
      <c r="N58">
        <v>217.46</v>
      </c>
      <c r="O58" s="1">
        <f t="shared" si="0"/>
        <v>2.3948786441303493E-3</v>
      </c>
      <c r="P58" s="1">
        <f t="shared" si="1"/>
        <v>1.378359751895708E-4</v>
      </c>
      <c r="Q58" t="str">
        <f t="shared" si="2"/>
        <v>IDLE</v>
      </c>
      <c r="R58">
        <f t="shared" si="3"/>
        <v>0</v>
      </c>
    </row>
    <row r="59" spans="1:18" x14ac:dyDescent="0.2">
      <c r="A59" t="s">
        <v>14</v>
      </c>
      <c r="B59">
        <v>20231102</v>
      </c>
      <c r="C59">
        <v>99480.54</v>
      </c>
      <c r="D59">
        <v>99452.02</v>
      </c>
      <c r="E59">
        <v>1253</v>
      </c>
      <c r="F59">
        <v>1259</v>
      </c>
      <c r="G59" t="s">
        <v>70</v>
      </c>
      <c r="H59">
        <v>-28.519999999989501</v>
      </c>
      <c r="I59">
        <v>6</v>
      </c>
      <c r="J59" t="s">
        <v>16</v>
      </c>
      <c r="K59">
        <v>217.12</v>
      </c>
      <c r="L59">
        <v>217.15</v>
      </c>
      <c r="M59">
        <v>217.75</v>
      </c>
      <c r="N59">
        <v>216.84</v>
      </c>
      <c r="O59" s="1">
        <f t="shared" si="0"/>
        <v>1.3817243920422051E-4</v>
      </c>
      <c r="P59" s="1">
        <f t="shared" si="1"/>
        <v>2.7630670043747863E-3</v>
      </c>
      <c r="Q59" t="str">
        <f t="shared" si="2"/>
        <v>IDLE</v>
      </c>
      <c r="R59">
        <f t="shared" si="3"/>
        <v>0</v>
      </c>
    </row>
    <row r="60" spans="1:18" x14ac:dyDescent="0.2">
      <c r="A60" t="s">
        <v>14</v>
      </c>
      <c r="B60">
        <v>20231102</v>
      </c>
      <c r="C60">
        <v>99452.02</v>
      </c>
      <c r="D60">
        <v>99449.26</v>
      </c>
      <c r="E60">
        <v>1315</v>
      </c>
      <c r="F60">
        <v>1316</v>
      </c>
      <c r="G60" t="s">
        <v>71</v>
      </c>
      <c r="H60">
        <v>-2.7600000000093101</v>
      </c>
      <c r="I60">
        <v>1</v>
      </c>
      <c r="J60" t="s">
        <v>16</v>
      </c>
      <c r="K60">
        <v>216.96</v>
      </c>
      <c r="L60">
        <v>217.21</v>
      </c>
      <c r="M60">
        <v>217.4</v>
      </c>
      <c r="N60">
        <v>217.18</v>
      </c>
      <c r="O60" s="1">
        <f t="shared" si="0"/>
        <v>1.1522861356931813E-3</v>
      </c>
      <c r="P60" s="1">
        <f t="shared" si="1"/>
        <v>8.7472952442335661E-4</v>
      </c>
      <c r="Q60" t="str">
        <f t="shared" si="2"/>
        <v>IDLE</v>
      </c>
      <c r="R60">
        <f t="shared" si="3"/>
        <v>0</v>
      </c>
    </row>
    <row r="61" spans="1:18" x14ac:dyDescent="0.2">
      <c r="A61" t="s">
        <v>14</v>
      </c>
      <c r="B61">
        <v>20231102</v>
      </c>
      <c r="C61">
        <v>99449.26</v>
      </c>
      <c r="D61">
        <v>99421.66</v>
      </c>
      <c r="E61">
        <v>1320</v>
      </c>
      <c r="F61">
        <v>1321</v>
      </c>
      <c r="G61" t="s">
        <v>72</v>
      </c>
      <c r="H61">
        <v>-27.599999999991201</v>
      </c>
      <c r="I61">
        <v>1</v>
      </c>
      <c r="J61" t="s">
        <v>16</v>
      </c>
      <c r="K61">
        <v>216.89</v>
      </c>
      <c r="L61">
        <v>216.92</v>
      </c>
      <c r="M61">
        <v>217.38</v>
      </c>
      <c r="N61">
        <v>216.62</v>
      </c>
      <c r="O61" s="1">
        <f t="shared" si="0"/>
        <v>1.3831896353000417E-4</v>
      </c>
      <c r="P61" s="1">
        <f t="shared" si="1"/>
        <v>2.1205974552831464E-3</v>
      </c>
      <c r="Q61" t="str">
        <f t="shared" si="2"/>
        <v>IDLE</v>
      </c>
      <c r="R61">
        <f t="shared" si="3"/>
        <v>0</v>
      </c>
    </row>
    <row r="62" spans="1:18" x14ac:dyDescent="0.2">
      <c r="A62" t="s">
        <v>14</v>
      </c>
      <c r="B62">
        <v>20231102</v>
      </c>
      <c r="C62">
        <v>99421.66</v>
      </c>
      <c r="D62">
        <v>99396.82</v>
      </c>
      <c r="E62">
        <v>1333</v>
      </c>
      <c r="F62">
        <v>1335</v>
      </c>
      <c r="G62" t="s">
        <v>73</v>
      </c>
      <c r="H62">
        <v>-24.8399999999965</v>
      </c>
      <c r="I62">
        <v>2</v>
      </c>
      <c r="J62" t="s">
        <v>16</v>
      </c>
      <c r="K62">
        <v>216.44</v>
      </c>
      <c r="L62">
        <v>217.11</v>
      </c>
      <c r="M62">
        <v>217.33</v>
      </c>
      <c r="N62">
        <v>216.84</v>
      </c>
      <c r="O62" s="1">
        <f t="shared" si="0"/>
        <v>3.0955461097763592E-3</v>
      </c>
      <c r="P62" s="1">
        <f t="shared" si="1"/>
        <v>1.0133112247248111E-3</v>
      </c>
      <c r="Q62" t="str">
        <f t="shared" si="2"/>
        <v>IDLE</v>
      </c>
      <c r="R62">
        <f t="shared" si="3"/>
        <v>0</v>
      </c>
    </row>
    <row r="63" spans="1:18" x14ac:dyDescent="0.2">
      <c r="A63" t="s">
        <v>14</v>
      </c>
      <c r="B63">
        <v>20231102</v>
      </c>
      <c r="C63">
        <v>99396.82</v>
      </c>
      <c r="D63">
        <v>99418.9</v>
      </c>
      <c r="E63">
        <v>1339</v>
      </c>
      <c r="F63">
        <v>1408</v>
      </c>
      <c r="G63" t="s">
        <v>74</v>
      </c>
      <c r="H63">
        <v>22.079999999987098</v>
      </c>
      <c r="I63">
        <v>29</v>
      </c>
      <c r="J63" t="s">
        <v>16</v>
      </c>
      <c r="K63">
        <v>216.69</v>
      </c>
      <c r="L63">
        <v>216.92</v>
      </c>
      <c r="M63">
        <v>217.26</v>
      </c>
      <c r="N63">
        <v>217.16</v>
      </c>
      <c r="O63" s="1">
        <f t="shared" si="0"/>
        <v>1.0614241543218661E-3</v>
      </c>
      <c r="P63" s="1">
        <f t="shared" si="1"/>
        <v>1.5673981191222097E-3</v>
      </c>
      <c r="Q63" t="str">
        <f t="shared" si="2"/>
        <v>IDLE</v>
      </c>
      <c r="R63">
        <f t="shared" si="3"/>
        <v>0</v>
      </c>
    </row>
    <row r="64" spans="1:18" x14ac:dyDescent="0.2">
      <c r="A64" t="s">
        <v>14</v>
      </c>
      <c r="B64">
        <v>20231102</v>
      </c>
      <c r="C64">
        <v>99418.9</v>
      </c>
      <c r="D64">
        <v>99458.03</v>
      </c>
      <c r="E64">
        <v>1412</v>
      </c>
      <c r="F64">
        <v>1430</v>
      </c>
      <c r="G64" t="s">
        <v>75</v>
      </c>
      <c r="H64">
        <v>39.1300000000046</v>
      </c>
      <c r="I64">
        <v>18</v>
      </c>
      <c r="J64" t="s">
        <v>16</v>
      </c>
      <c r="K64">
        <v>217.07</v>
      </c>
      <c r="L64">
        <v>217.58</v>
      </c>
      <c r="M64">
        <v>217.56</v>
      </c>
      <c r="N64">
        <v>218.01</v>
      </c>
      <c r="O64" s="1">
        <f t="shared" si="0"/>
        <v>2.3494725203851985E-3</v>
      </c>
      <c r="P64" s="1">
        <f t="shared" si="1"/>
        <v>-9.1920213254992333E-5</v>
      </c>
      <c r="Q64" t="str">
        <f t="shared" si="2"/>
        <v>IDLE</v>
      </c>
      <c r="R64">
        <f t="shared" si="3"/>
        <v>0</v>
      </c>
    </row>
    <row r="65" spans="1:18" x14ac:dyDescent="0.2">
      <c r="A65" t="s">
        <v>14</v>
      </c>
      <c r="B65">
        <v>20231102</v>
      </c>
      <c r="C65">
        <v>99458.03</v>
      </c>
      <c r="D65">
        <v>99494.43</v>
      </c>
      <c r="E65">
        <v>1434</v>
      </c>
      <c r="F65">
        <v>1510</v>
      </c>
      <c r="G65" t="s">
        <v>76</v>
      </c>
      <c r="H65">
        <v>36.399999999994101</v>
      </c>
      <c r="I65">
        <v>36</v>
      </c>
      <c r="J65" t="s">
        <v>16</v>
      </c>
      <c r="K65">
        <v>217.91</v>
      </c>
      <c r="L65">
        <v>218.15</v>
      </c>
      <c r="M65">
        <v>218.48</v>
      </c>
      <c r="N65">
        <v>218.55</v>
      </c>
      <c r="O65" s="1">
        <f t="shared" si="0"/>
        <v>1.1013721261070586E-3</v>
      </c>
      <c r="P65" s="1">
        <f t="shared" si="1"/>
        <v>1.5127206050882247E-3</v>
      </c>
      <c r="Q65" t="str">
        <f t="shared" si="2"/>
        <v>IDLE</v>
      </c>
      <c r="R65">
        <f t="shared" si="3"/>
        <v>0</v>
      </c>
    </row>
    <row r="66" spans="1:18" x14ac:dyDescent="0.2">
      <c r="A66" t="s">
        <v>14</v>
      </c>
      <c r="B66">
        <v>20231103</v>
      </c>
      <c r="C66">
        <v>99494.43</v>
      </c>
      <c r="D66">
        <v>99437.73</v>
      </c>
      <c r="E66">
        <v>933</v>
      </c>
      <c r="F66">
        <v>934</v>
      </c>
      <c r="G66" t="s">
        <v>77</v>
      </c>
      <c r="H66">
        <v>-56.699999999996997</v>
      </c>
      <c r="I66">
        <v>1</v>
      </c>
      <c r="J66" t="s">
        <v>16</v>
      </c>
      <c r="K66">
        <v>217.3</v>
      </c>
      <c r="L66">
        <v>221.42</v>
      </c>
      <c r="M66">
        <v>222.11</v>
      </c>
      <c r="N66">
        <v>220.79</v>
      </c>
      <c r="O66" s="1">
        <f t="shared" si="0"/>
        <v>1.8959963184537409E-2</v>
      </c>
      <c r="P66" s="1">
        <f t="shared" si="1"/>
        <v>3.1162496612773261E-3</v>
      </c>
      <c r="Q66" t="str">
        <f t="shared" si="2"/>
        <v>IDLE</v>
      </c>
      <c r="R66">
        <f t="shared" si="3"/>
        <v>0</v>
      </c>
    </row>
    <row r="67" spans="1:18" x14ac:dyDescent="0.2">
      <c r="A67" t="s">
        <v>14</v>
      </c>
      <c r="B67">
        <v>20231103</v>
      </c>
      <c r="C67">
        <v>99437.73</v>
      </c>
      <c r="D67">
        <v>99822.93</v>
      </c>
      <c r="E67">
        <v>938</v>
      </c>
      <c r="F67">
        <v>953</v>
      </c>
      <c r="G67" t="s">
        <v>78</v>
      </c>
      <c r="H67">
        <v>385.19999999999698</v>
      </c>
      <c r="I67">
        <v>15</v>
      </c>
      <c r="J67" t="s">
        <v>16</v>
      </c>
      <c r="K67">
        <v>219.57</v>
      </c>
      <c r="L67">
        <v>221.36</v>
      </c>
      <c r="M67">
        <v>222.57</v>
      </c>
      <c r="N67">
        <v>225.64</v>
      </c>
      <c r="O67" s="1">
        <f t="shared" si="0"/>
        <v>8.1522976727239627E-3</v>
      </c>
      <c r="P67" s="1">
        <f t="shared" si="1"/>
        <v>5.4662088904950945E-3</v>
      </c>
      <c r="Q67" t="str">
        <f t="shared" si="2"/>
        <v>BUY</v>
      </c>
      <c r="R67">
        <f t="shared" si="3"/>
        <v>385.19999999999698</v>
      </c>
    </row>
    <row r="68" spans="1:18" x14ac:dyDescent="0.2">
      <c r="A68" t="s">
        <v>14</v>
      </c>
      <c r="B68">
        <v>20231103</v>
      </c>
      <c r="C68">
        <v>99822.93</v>
      </c>
      <c r="D68">
        <v>99758.69</v>
      </c>
      <c r="E68">
        <v>957</v>
      </c>
      <c r="F68">
        <v>959</v>
      </c>
      <c r="G68" t="s">
        <v>79</v>
      </c>
      <c r="H68">
        <v>-64.239999999990602</v>
      </c>
      <c r="I68">
        <v>2</v>
      </c>
      <c r="J68" t="s">
        <v>16</v>
      </c>
      <c r="K68">
        <v>224.72</v>
      </c>
      <c r="L68">
        <v>225.76</v>
      </c>
      <c r="M68">
        <v>226.08</v>
      </c>
      <c r="N68">
        <v>225.03</v>
      </c>
      <c r="O68" s="1">
        <f t="shared" ref="O68:O131" si="4">(L68/K68)-1</f>
        <v>4.6279814880740844E-3</v>
      </c>
      <c r="P68" s="1">
        <f t="shared" ref="P68:P131" si="5">(M68/L68)-1</f>
        <v>1.4174344436570507E-3</v>
      </c>
      <c r="Q68" t="str">
        <f t="shared" ref="Q68:Q131" si="6">IF(J68="SELL",IF(O68&gt;=$O$1,"SELL","IDLE"),IF(P68&gt;=$P$1,"BUY","IDLE"))</f>
        <v>IDLE</v>
      </c>
      <c r="R68">
        <f t="shared" ref="R68:R131" si="7">IF(Q68&lt;&gt;"IDLE",H68,0)</f>
        <v>0</v>
      </c>
    </row>
    <row r="69" spans="1:18" x14ac:dyDescent="0.2">
      <c r="A69" t="s">
        <v>14</v>
      </c>
      <c r="B69">
        <v>20231103</v>
      </c>
      <c r="C69">
        <v>99758.69</v>
      </c>
      <c r="D69">
        <v>99687.49</v>
      </c>
      <c r="E69">
        <v>1003</v>
      </c>
      <c r="F69">
        <v>1006</v>
      </c>
      <c r="G69" t="s">
        <v>80</v>
      </c>
      <c r="H69">
        <v>-71.199999999997004</v>
      </c>
      <c r="I69">
        <v>3</v>
      </c>
      <c r="J69" t="s">
        <v>16</v>
      </c>
      <c r="K69">
        <v>224.42</v>
      </c>
      <c r="L69">
        <v>224.62</v>
      </c>
      <c r="M69">
        <v>225.61</v>
      </c>
      <c r="N69">
        <v>223.82</v>
      </c>
      <c r="O69" s="1">
        <f t="shared" si="4"/>
        <v>8.9118616879080292E-4</v>
      </c>
      <c r="P69" s="1">
        <f t="shared" si="5"/>
        <v>4.4074436826639918E-3</v>
      </c>
      <c r="Q69" t="str">
        <f t="shared" si="6"/>
        <v>IDLE</v>
      </c>
      <c r="R69">
        <f t="shared" si="7"/>
        <v>0</v>
      </c>
    </row>
    <row r="70" spans="1:18" x14ac:dyDescent="0.2">
      <c r="A70" t="s">
        <v>14</v>
      </c>
      <c r="B70">
        <v>20231103</v>
      </c>
      <c r="C70">
        <v>99687.49</v>
      </c>
      <c r="D70">
        <v>99655.99</v>
      </c>
      <c r="E70">
        <v>1116</v>
      </c>
      <c r="F70">
        <v>1120</v>
      </c>
      <c r="G70" t="s">
        <v>81</v>
      </c>
      <c r="H70">
        <v>-31.5</v>
      </c>
      <c r="I70">
        <v>4</v>
      </c>
      <c r="J70" t="s">
        <v>15</v>
      </c>
      <c r="K70">
        <v>220.04</v>
      </c>
      <c r="L70">
        <v>220.14</v>
      </c>
      <c r="M70">
        <v>220.53</v>
      </c>
      <c r="N70">
        <v>220.49</v>
      </c>
      <c r="O70" s="1">
        <f t="shared" si="4"/>
        <v>4.5446282494099322E-4</v>
      </c>
      <c r="P70" s="1">
        <f t="shared" si="5"/>
        <v>1.7715998909786368E-3</v>
      </c>
      <c r="Q70" t="str">
        <f t="shared" si="6"/>
        <v>SELL</v>
      </c>
      <c r="R70">
        <f t="shared" si="7"/>
        <v>-31.5</v>
      </c>
    </row>
    <row r="71" spans="1:18" x14ac:dyDescent="0.2">
      <c r="A71" t="s">
        <v>14</v>
      </c>
      <c r="B71">
        <v>20231103</v>
      </c>
      <c r="C71">
        <v>99655.99</v>
      </c>
      <c r="D71">
        <v>99638.89</v>
      </c>
      <c r="E71">
        <v>1124</v>
      </c>
      <c r="F71">
        <v>1131</v>
      </c>
      <c r="G71" t="s">
        <v>82</v>
      </c>
      <c r="H71">
        <v>-17.100000000005799</v>
      </c>
      <c r="I71">
        <v>7</v>
      </c>
      <c r="J71" t="s">
        <v>15</v>
      </c>
      <c r="K71">
        <v>220.06</v>
      </c>
      <c r="L71">
        <v>220.58</v>
      </c>
      <c r="M71">
        <v>220.7</v>
      </c>
      <c r="N71">
        <v>220.77</v>
      </c>
      <c r="O71" s="1">
        <f t="shared" si="4"/>
        <v>2.3629919112970743E-3</v>
      </c>
      <c r="P71" s="1">
        <f t="shared" si="5"/>
        <v>5.4402031009148644E-4</v>
      </c>
      <c r="Q71" t="str">
        <f t="shared" si="6"/>
        <v>SELL</v>
      </c>
      <c r="R71">
        <f t="shared" si="7"/>
        <v>-17.100000000005799</v>
      </c>
    </row>
    <row r="72" spans="1:18" x14ac:dyDescent="0.2">
      <c r="A72" t="s">
        <v>14</v>
      </c>
      <c r="B72">
        <v>20231103</v>
      </c>
      <c r="C72">
        <v>99638.89</v>
      </c>
      <c r="D72">
        <v>99731.59</v>
      </c>
      <c r="E72">
        <v>1150</v>
      </c>
      <c r="F72">
        <v>1206</v>
      </c>
      <c r="G72" t="s">
        <v>83</v>
      </c>
      <c r="H72">
        <v>92.699999999997004</v>
      </c>
      <c r="I72">
        <v>16</v>
      </c>
      <c r="J72" t="s">
        <v>15</v>
      </c>
      <c r="K72">
        <v>220.16</v>
      </c>
      <c r="L72">
        <v>220.43</v>
      </c>
      <c r="M72">
        <v>220.65</v>
      </c>
      <c r="N72">
        <v>219.4</v>
      </c>
      <c r="O72" s="1">
        <f t="shared" si="4"/>
        <v>1.2263808139534316E-3</v>
      </c>
      <c r="P72" s="1">
        <f t="shared" si="5"/>
        <v>9.9804926734115007E-4</v>
      </c>
      <c r="Q72" t="str">
        <f t="shared" si="6"/>
        <v>SELL</v>
      </c>
      <c r="R72">
        <f t="shared" si="7"/>
        <v>92.699999999997004</v>
      </c>
    </row>
    <row r="73" spans="1:18" x14ac:dyDescent="0.2">
      <c r="A73" t="s">
        <v>14</v>
      </c>
      <c r="B73">
        <v>20231103</v>
      </c>
      <c r="C73">
        <v>99731.59</v>
      </c>
      <c r="D73">
        <v>99723.4</v>
      </c>
      <c r="E73">
        <v>1336</v>
      </c>
      <c r="F73">
        <v>1337</v>
      </c>
      <c r="G73" t="s">
        <v>84</v>
      </c>
      <c r="H73">
        <v>-8.1900000000023194</v>
      </c>
      <c r="I73">
        <v>1</v>
      </c>
      <c r="J73" t="s">
        <v>15</v>
      </c>
      <c r="K73">
        <v>219.05</v>
      </c>
      <c r="L73">
        <v>219.17</v>
      </c>
      <c r="M73">
        <v>219.56</v>
      </c>
      <c r="N73">
        <v>219.26</v>
      </c>
      <c r="O73" s="1">
        <f t="shared" si="4"/>
        <v>5.478201323898535E-4</v>
      </c>
      <c r="P73" s="1">
        <f t="shared" si="5"/>
        <v>1.7794406168727406E-3</v>
      </c>
      <c r="Q73" t="str">
        <f t="shared" si="6"/>
        <v>SELL</v>
      </c>
      <c r="R73">
        <f t="shared" si="7"/>
        <v>-8.1900000000023194</v>
      </c>
    </row>
    <row r="74" spans="1:18" x14ac:dyDescent="0.2">
      <c r="A74" t="s">
        <v>14</v>
      </c>
      <c r="B74">
        <v>20231103</v>
      </c>
      <c r="C74">
        <v>99723.4</v>
      </c>
      <c r="D74">
        <v>99707.93</v>
      </c>
      <c r="E74">
        <v>1341</v>
      </c>
      <c r="F74">
        <v>1356</v>
      </c>
      <c r="G74" t="s">
        <v>85</v>
      </c>
      <c r="H74">
        <v>-15.4700000000011</v>
      </c>
      <c r="I74">
        <v>15</v>
      </c>
      <c r="J74" t="s">
        <v>15</v>
      </c>
      <c r="K74">
        <v>219.02</v>
      </c>
      <c r="L74">
        <v>219.13</v>
      </c>
      <c r="M74">
        <v>219.55</v>
      </c>
      <c r="N74">
        <v>219.3</v>
      </c>
      <c r="O74" s="1">
        <f t="shared" si="4"/>
        <v>5.0223723860831626E-4</v>
      </c>
      <c r="P74" s="1">
        <f t="shared" si="5"/>
        <v>1.9166704695843251E-3</v>
      </c>
      <c r="Q74" t="str">
        <f t="shared" si="6"/>
        <v>SELL</v>
      </c>
      <c r="R74">
        <f t="shared" si="7"/>
        <v>-15.4700000000011</v>
      </c>
    </row>
    <row r="75" spans="1:18" x14ac:dyDescent="0.2">
      <c r="A75" t="s">
        <v>14</v>
      </c>
      <c r="B75">
        <v>20231103</v>
      </c>
      <c r="C75">
        <v>99707.93</v>
      </c>
      <c r="D75">
        <v>99694.28</v>
      </c>
      <c r="E75">
        <v>1513</v>
      </c>
      <c r="F75">
        <v>1514</v>
      </c>
      <c r="G75" t="s">
        <v>86</v>
      </c>
      <c r="H75">
        <v>-13.649999999994099</v>
      </c>
      <c r="I75">
        <v>1</v>
      </c>
      <c r="J75" t="s">
        <v>15</v>
      </c>
      <c r="K75">
        <v>219.01</v>
      </c>
      <c r="L75">
        <v>219.25</v>
      </c>
      <c r="M75">
        <v>220.01</v>
      </c>
      <c r="N75">
        <v>219.4</v>
      </c>
      <c r="O75" s="1">
        <f t="shared" si="4"/>
        <v>1.0958403725858101E-3</v>
      </c>
      <c r="P75" s="1">
        <f t="shared" si="5"/>
        <v>3.4663625997719549E-3</v>
      </c>
      <c r="Q75" t="str">
        <f t="shared" si="6"/>
        <v>SELL</v>
      </c>
      <c r="R75">
        <f t="shared" si="7"/>
        <v>-13.649999999994099</v>
      </c>
    </row>
    <row r="76" spans="1:18" x14ac:dyDescent="0.2">
      <c r="A76" t="s">
        <v>14</v>
      </c>
      <c r="B76">
        <v>20231103</v>
      </c>
      <c r="C76">
        <v>99694.28</v>
      </c>
      <c r="D76">
        <v>99707.02</v>
      </c>
      <c r="E76">
        <v>1518</v>
      </c>
      <c r="F76">
        <v>1545</v>
      </c>
      <c r="G76" t="s">
        <v>87</v>
      </c>
      <c r="H76">
        <v>12.7400000000052</v>
      </c>
      <c r="I76">
        <v>27</v>
      </c>
      <c r="J76" t="s">
        <v>15</v>
      </c>
      <c r="K76">
        <v>219.11</v>
      </c>
      <c r="L76">
        <v>219.43</v>
      </c>
      <c r="M76">
        <v>219.42</v>
      </c>
      <c r="N76">
        <v>219.29</v>
      </c>
      <c r="O76" s="1">
        <f t="shared" si="4"/>
        <v>1.4604536534159607E-3</v>
      </c>
      <c r="P76" s="1">
        <f t="shared" si="5"/>
        <v>-4.5572619969957984E-5</v>
      </c>
      <c r="Q76" t="str">
        <f t="shared" si="6"/>
        <v>SELL</v>
      </c>
      <c r="R76">
        <f t="shared" si="7"/>
        <v>12.7400000000052</v>
      </c>
    </row>
    <row r="77" spans="1:18" x14ac:dyDescent="0.2">
      <c r="A77" t="s">
        <v>14</v>
      </c>
      <c r="B77">
        <v>20231103</v>
      </c>
      <c r="C77">
        <v>99707.02</v>
      </c>
      <c r="D77">
        <v>99686.09</v>
      </c>
      <c r="E77">
        <v>1549</v>
      </c>
      <c r="F77">
        <v>1550</v>
      </c>
      <c r="G77" t="s">
        <v>88</v>
      </c>
      <c r="H77">
        <v>-20.930000000007499</v>
      </c>
      <c r="I77">
        <v>1</v>
      </c>
      <c r="J77" t="s">
        <v>15</v>
      </c>
      <c r="K77">
        <v>218.76</v>
      </c>
      <c r="L77">
        <v>219.27</v>
      </c>
      <c r="M77">
        <v>219.25</v>
      </c>
      <c r="N77">
        <v>219.5</v>
      </c>
      <c r="O77" s="1">
        <f t="shared" si="4"/>
        <v>2.3313219967087129E-3</v>
      </c>
      <c r="P77" s="1">
        <f t="shared" si="5"/>
        <v>-9.1211748073249943E-5</v>
      </c>
      <c r="Q77" t="str">
        <f t="shared" si="6"/>
        <v>SELL</v>
      </c>
      <c r="R77">
        <f t="shared" si="7"/>
        <v>-20.930000000007499</v>
      </c>
    </row>
    <row r="78" spans="1:18" x14ac:dyDescent="0.2">
      <c r="A78" t="s">
        <v>14</v>
      </c>
      <c r="B78">
        <v>20231106</v>
      </c>
      <c r="C78">
        <v>99686.09</v>
      </c>
      <c r="D78">
        <v>99853.41</v>
      </c>
      <c r="E78">
        <v>933</v>
      </c>
      <c r="F78">
        <v>941</v>
      </c>
      <c r="G78" t="s">
        <v>89</v>
      </c>
      <c r="H78">
        <v>167.32000000000599</v>
      </c>
      <c r="I78">
        <v>8</v>
      </c>
      <c r="J78" t="s">
        <v>16</v>
      </c>
      <c r="K78">
        <v>218.51</v>
      </c>
      <c r="L78">
        <v>223.12</v>
      </c>
      <c r="M78">
        <v>224.59</v>
      </c>
      <c r="N78">
        <v>225</v>
      </c>
      <c r="O78" s="1">
        <f t="shared" si="4"/>
        <v>2.1097432611779876E-2</v>
      </c>
      <c r="P78" s="1">
        <f t="shared" si="5"/>
        <v>6.5883829329509425E-3</v>
      </c>
      <c r="Q78" t="str">
        <f t="shared" si="6"/>
        <v>BUY</v>
      </c>
      <c r="R78">
        <f t="shared" si="7"/>
        <v>167.32000000000599</v>
      </c>
    </row>
    <row r="79" spans="1:18" x14ac:dyDescent="0.2">
      <c r="A79" t="s">
        <v>14</v>
      </c>
      <c r="B79">
        <v>20231106</v>
      </c>
      <c r="C79">
        <v>99853.41</v>
      </c>
      <c r="D79">
        <v>99814.71</v>
      </c>
      <c r="E79">
        <v>1017</v>
      </c>
      <c r="F79">
        <v>1022</v>
      </c>
      <c r="G79" t="s">
        <v>90</v>
      </c>
      <c r="H79">
        <v>-38.699999999996997</v>
      </c>
      <c r="I79">
        <v>5</v>
      </c>
      <c r="J79" t="s">
        <v>15</v>
      </c>
      <c r="K79">
        <v>219.23</v>
      </c>
      <c r="L79">
        <v>220.38</v>
      </c>
      <c r="M79">
        <v>220.37</v>
      </c>
      <c r="N79">
        <v>220.81</v>
      </c>
      <c r="O79" s="1">
        <f t="shared" si="4"/>
        <v>5.2456324408156618E-3</v>
      </c>
      <c r="P79" s="1">
        <f t="shared" si="5"/>
        <v>-4.5376168436250808E-5</v>
      </c>
      <c r="Q79" t="str">
        <f t="shared" si="6"/>
        <v>SELL</v>
      </c>
      <c r="R79">
        <f t="shared" si="7"/>
        <v>-38.699999999996997</v>
      </c>
    </row>
    <row r="80" spans="1:18" x14ac:dyDescent="0.2">
      <c r="A80" t="s">
        <v>14</v>
      </c>
      <c r="B80">
        <v>20231106</v>
      </c>
      <c r="C80">
        <v>99814.71</v>
      </c>
      <c r="D80">
        <v>99776.91</v>
      </c>
      <c r="E80">
        <v>1026</v>
      </c>
      <c r="F80">
        <v>1028</v>
      </c>
      <c r="G80" t="s">
        <v>91</v>
      </c>
      <c r="H80">
        <v>-37.800000000002903</v>
      </c>
      <c r="I80">
        <v>2</v>
      </c>
      <c r="J80" t="s">
        <v>15</v>
      </c>
      <c r="K80">
        <v>220.04</v>
      </c>
      <c r="L80">
        <v>220.54</v>
      </c>
      <c r="M80">
        <v>220.66</v>
      </c>
      <c r="N80">
        <v>220.96</v>
      </c>
      <c r="O80" s="1">
        <f t="shared" si="4"/>
        <v>2.272314124704522E-3</v>
      </c>
      <c r="P80" s="1">
        <f t="shared" si="5"/>
        <v>5.4411898068384978E-4</v>
      </c>
      <c r="Q80" t="str">
        <f t="shared" si="6"/>
        <v>SELL</v>
      </c>
      <c r="R80">
        <f t="shared" si="7"/>
        <v>-37.800000000002903</v>
      </c>
    </row>
    <row r="81" spans="1:18" x14ac:dyDescent="0.2">
      <c r="A81" t="s">
        <v>14</v>
      </c>
      <c r="B81">
        <v>20231106</v>
      </c>
      <c r="C81">
        <v>99776.91</v>
      </c>
      <c r="D81">
        <v>99743.61</v>
      </c>
      <c r="E81">
        <v>1049</v>
      </c>
      <c r="F81">
        <v>1050</v>
      </c>
      <c r="G81" t="s">
        <v>92</v>
      </c>
      <c r="H81">
        <v>-33.300000000002903</v>
      </c>
      <c r="I81">
        <v>1</v>
      </c>
      <c r="J81" t="s">
        <v>15</v>
      </c>
      <c r="K81">
        <v>220.12</v>
      </c>
      <c r="L81">
        <v>220.17</v>
      </c>
      <c r="M81">
        <v>222.01</v>
      </c>
      <c r="N81">
        <v>220.54</v>
      </c>
      <c r="O81" s="1">
        <f t="shared" si="4"/>
        <v>2.2714882791197155E-4</v>
      </c>
      <c r="P81" s="1">
        <f t="shared" si="5"/>
        <v>8.3571785438525392E-3</v>
      </c>
      <c r="Q81" t="str">
        <f t="shared" si="6"/>
        <v>SELL</v>
      </c>
      <c r="R81">
        <f t="shared" si="7"/>
        <v>-33.300000000002903</v>
      </c>
    </row>
    <row r="82" spans="1:18" x14ac:dyDescent="0.2">
      <c r="A82" t="s">
        <v>14</v>
      </c>
      <c r="B82">
        <v>20231106</v>
      </c>
      <c r="C82">
        <v>99743.61</v>
      </c>
      <c r="D82">
        <v>99763.41</v>
      </c>
      <c r="E82">
        <v>1054</v>
      </c>
      <c r="F82">
        <v>1103</v>
      </c>
      <c r="G82" t="s">
        <v>93</v>
      </c>
      <c r="H82">
        <v>19.8000000000029</v>
      </c>
      <c r="I82">
        <v>9</v>
      </c>
      <c r="J82" t="s">
        <v>15</v>
      </c>
      <c r="K82">
        <v>220.16</v>
      </c>
      <c r="L82">
        <v>220.56</v>
      </c>
      <c r="M82">
        <v>220.88</v>
      </c>
      <c r="N82">
        <v>220.34</v>
      </c>
      <c r="O82" s="1">
        <f t="shared" si="4"/>
        <v>1.8168604651163101E-3</v>
      </c>
      <c r="P82" s="1">
        <f t="shared" si="5"/>
        <v>1.4508523757708058E-3</v>
      </c>
      <c r="Q82" t="str">
        <f t="shared" si="6"/>
        <v>SELL</v>
      </c>
      <c r="R82">
        <f t="shared" si="7"/>
        <v>19.8000000000029</v>
      </c>
    </row>
    <row r="83" spans="1:18" x14ac:dyDescent="0.2">
      <c r="A83" t="s">
        <v>14</v>
      </c>
      <c r="B83">
        <v>20231106</v>
      </c>
      <c r="C83">
        <v>99763.41</v>
      </c>
      <c r="D83">
        <v>99819.21</v>
      </c>
      <c r="E83">
        <v>1137</v>
      </c>
      <c r="F83">
        <v>1153</v>
      </c>
      <c r="G83" t="s">
        <v>94</v>
      </c>
      <c r="H83">
        <v>55.800000000002903</v>
      </c>
      <c r="I83">
        <v>16</v>
      </c>
      <c r="J83" t="s">
        <v>15</v>
      </c>
      <c r="K83">
        <v>220.02</v>
      </c>
      <c r="L83">
        <v>220.01</v>
      </c>
      <c r="M83">
        <v>220.77</v>
      </c>
      <c r="N83">
        <v>219.39</v>
      </c>
      <c r="O83" s="1">
        <f t="shared" si="4"/>
        <v>-4.5450413598824291E-5</v>
      </c>
      <c r="P83" s="1">
        <f t="shared" si="5"/>
        <v>3.4543884368893885E-3</v>
      </c>
      <c r="Q83" t="str">
        <f t="shared" si="6"/>
        <v>IDLE</v>
      </c>
      <c r="R83">
        <f t="shared" si="7"/>
        <v>0</v>
      </c>
    </row>
    <row r="84" spans="1:18" x14ac:dyDescent="0.2">
      <c r="A84" t="s">
        <v>14</v>
      </c>
      <c r="B84">
        <v>20231106</v>
      </c>
      <c r="C84">
        <v>99819.21</v>
      </c>
      <c r="D84">
        <v>100003.03</v>
      </c>
      <c r="E84">
        <v>1157</v>
      </c>
      <c r="F84">
        <v>1242</v>
      </c>
      <c r="G84" t="s">
        <v>95</v>
      </c>
      <c r="H84">
        <v>183.81999999999201</v>
      </c>
      <c r="I84">
        <v>45</v>
      </c>
      <c r="J84" t="s">
        <v>15</v>
      </c>
      <c r="K84">
        <v>218.82</v>
      </c>
      <c r="L84">
        <v>219.61</v>
      </c>
      <c r="M84">
        <v>219.69</v>
      </c>
      <c r="N84">
        <v>217.59</v>
      </c>
      <c r="O84" s="1">
        <f t="shared" si="4"/>
        <v>3.6102732839777829E-3</v>
      </c>
      <c r="P84" s="1">
        <f t="shared" si="5"/>
        <v>3.6428213651462649E-4</v>
      </c>
      <c r="Q84" t="str">
        <f t="shared" si="6"/>
        <v>SELL</v>
      </c>
      <c r="R84">
        <f t="shared" si="7"/>
        <v>183.81999999999201</v>
      </c>
    </row>
    <row r="85" spans="1:18" x14ac:dyDescent="0.2">
      <c r="A85" t="s">
        <v>14</v>
      </c>
      <c r="B85">
        <v>20231106</v>
      </c>
      <c r="C85">
        <v>100003.03</v>
      </c>
      <c r="D85">
        <v>99992.91</v>
      </c>
      <c r="E85">
        <v>1246</v>
      </c>
      <c r="F85">
        <v>1256</v>
      </c>
      <c r="G85" t="s">
        <v>96</v>
      </c>
      <c r="H85">
        <v>-10.119999999995301</v>
      </c>
      <c r="I85">
        <v>10</v>
      </c>
      <c r="J85" t="s">
        <v>15</v>
      </c>
      <c r="K85">
        <v>217.04</v>
      </c>
      <c r="L85">
        <v>217.05</v>
      </c>
      <c r="M85">
        <v>217.54</v>
      </c>
      <c r="N85">
        <v>217.16</v>
      </c>
      <c r="O85" s="1">
        <f t="shared" si="4"/>
        <v>4.6074456321543167E-5</v>
      </c>
      <c r="P85" s="1">
        <f t="shared" si="5"/>
        <v>2.2575443446208876E-3</v>
      </c>
      <c r="Q85" t="str">
        <f t="shared" si="6"/>
        <v>IDLE</v>
      </c>
      <c r="R85">
        <f t="shared" si="7"/>
        <v>0</v>
      </c>
    </row>
    <row r="86" spans="1:18" x14ac:dyDescent="0.2">
      <c r="A86" t="s">
        <v>14</v>
      </c>
      <c r="B86">
        <v>20231106</v>
      </c>
      <c r="C86">
        <v>99992.91</v>
      </c>
      <c r="D86">
        <v>100146.7</v>
      </c>
      <c r="E86">
        <v>1300</v>
      </c>
      <c r="F86">
        <v>1329</v>
      </c>
      <c r="G86" t="s">
        <v>97</v>
      </c>
      <c r="H86">
        <v>153.789999999993</v>
      </c>
      <c r="I86">
        <v>29</v>
      </c>
      <c r="J86" t="s">
        <v>15</v>
      </c>
      <c r="K86">
        <v>216.57</v>
      </c>
      <c r="L86">
        <v>217.5</v>
      </c>
      <c r="M86">
        <v>217.52</v>
      </c>
      <c r="N86">
        <v>215.81</v>
      </c>
      <c r="O86" s="1">
        <f t="shared" si="4"/>
        <v>4.294223576672751E-3</v>
      </c>
      <c r="P86" s="1">
        <f t="shared" si="5"/>
        <v>9.195402298844968E-5</v>
      </c>
      <c r="Q86" t="str">
        <f t="shared" si="6"/>
        <v>SELL</v>
      </c>
      <c r="R86">
        <f t="shared" si="7"/>
        <v>153.789999999993</v>
      </c>
    </row>
    <row r="87" spans="1:18" x14ac:dyDescent="0.2">
      <c r="A87" t="s">
        <v>14</v>
      </c>
      <c r="B87">
        <v>20231106</v>
      </c>
      <c r="C87">
        <v>100146.7</v>
      </c>
      <c r="D87">
        <v>100120.94</v>
      </c>
      <c r="E87">
        <v>1333</v>
      </c>
      <c r="F87">
        <v>1336</v>
      </c>
      <c r="G87" t="s">
        <v>98</v>
      </c>
      <c r="H87">
        <v>-25.759999999994701</v>
      </c>
      <c r="I87">
        <v>3</v>
      </c>
      <c r="J87" t="s">
        <v>15</v>
      </c>
      <c r="K87">
        <v>215.41</v>
      </c>
      <c r="L87">
        <v>215.88</v>
      </c>
      <c r="M87">
        <v>215.85</v>
      </c>
      <c r="N87">
        <v>216.16</v>
      </c>
      <c r="O87" s="1">
        <f t="shared" si="4"/>
        <v>2.18188570632738E-3</v>
      </c>
      <c r="P87" s="1">
        <f t="shared" si="5"/>
        <v>-1.3896609227348478E-4</v>
      </c>
      <c r="Q87" t="str">
        <f t="shared" si="6"/>
        <v>SELL</v>
      </c>
      <c r="R87">
        <f t="shared" si="7"/>
        <v>-25.759999999994701</v>
      </c>
    </row>
    <row r="88" spans="1:18" x14ac:dyDescent="0.2">
      <c r="A88" t="s">
        <v>14</v>
      </c>
      <c r="B88">
        <v>20231106</v>
      </c>
      <c r="C88">
        <v>100120.94</v>
      </c>
      <c r="D88">
        <v>100088.74</v>
      </c>
      <c r="E88">
        <v>1355</v>
      </c>
      <c r="F88">
        <v>1357</v>
      </c>
      <c r="G88" t="s">
        <v>99</v>
      </c>
      <c r="H88">
        <v>-32.199999999996997</v>
      </c>
      <c r="I88">
        <v>2</v>
      </c>
      <c r="J88" t="s">
        <v>15</v>
      </c>
      <c r="K88">
        <v>215.15</v>
      </c>
      <c r="L88">
        <v>215.3</v>
      </c>
      <c r="M88">
        <v>216.2</v>
      </c>
      <c r="N88">
        <v>215.65</v>
      </c>
      <c r="O88" s="1">
        <f t="shared" si="4"/>
        <v>6.971880083663784E-4</v>
      </c>
      <c r="P88" s="1">
        <f t="shared" si="5"/>
        <v>4.1802136553645841E-3</v>
      </c>
      <c r="Q88" t="str">
        <f t="shared" si="6"/>
        <v>SELL</v>
      </c>
      <c r="R88">
        <f t="shared" si="7"/>
        <v>-32.199999999996997</v>
      </c>
    </row>
    <row r="89" spans="1:18" x14ac:dyDescent="0.2">
      <c r="A89" t="s">
        <v>14</v>
      </c>
      <c r="B89">
        <v>20231106</v>
      </c>
      <c r="C89">
        <v>100088.74</v>
      </c>
      <c r="D89">
        <v>100074.94</v>
      </c>
      <c r="E89">
        <v>1401</v>
      </c>
      <c r="F89">
        <v>1404</v>
      </c>
      <c r="G89" t="s">
        <v>100</v>
      </c>
      <c r="H89">
        <v>-13.8000000000029</v>
      </c>
      <c r="I89">
        <v>3</v>
      </c>
      <c r="J89" t="s">
        <v>15</v>
      </c>
      <c r="K89">
        <v>215.23</v>
      </c>
      <c r="L89">
        <v>215.61</v>
      </c>
      <c r="M89">
        <v>215.75</v>
      </c>
      <c r="N89">
        <v>215.76</v>
      </c>
      <c r="O89" s="1">
        <f t="shared" si="4"/>
        <v>1.765553129210673E-3</v>
      </c>
      <c r="P89" s="1">
        <f t="shared" si="5"/>
        <v>6.4932053244270982E-4</v>
      </c>
      <c r="Q89" t="str">
        <f t="shared" si="6"/>
        <v>SELL</v>
      </c>
      <c r="R89">
        <f t="shared" si="7"/>
        <v>-13.8000000000029</v>
      </c>
    </row>
    <row r="90" spans="1:18" x14ac:dyDescent="0.2">
      <c r="A90" t="s">
        <v>14</v>
      </c>
      <c r="B90">
        <v>20231106</v>
      </c>
      <c r="C90">
        <v>100074.94</v>
      </c>
      <c r="D90">
        <v>100052.86</v>
      </c>
      <c r="E90">
        <v>1408</v>
      </c>
      <c r="F90">
        <v>1411</v>
      </c>
      <c r="G90" t="s">
        <v>101</v>
      </c>
      <c r="H90">
        <v>-22.0800000000017</v>
      </c>
      <c r="I90">
        <v>3</v>
      </c>
      <c r="J90" t="s">
        <v>15</v>
      </c>
      <c r="K90">
        <v>215.29</v>
      </c>
      <c r="L90">
        <v>215.4</v>
      </c>
      <c r="M90">
        <v>215.76</v>
      </c>
      <c r="N90">
        <v>215.64</v>
      </c>
      <c r="O90" s="1">
        <f t="shared" si="4"/>
        <v>5.1093873380092525E-4</v>
      </c>
      <c r="P90" s="1">
        <f t="shared" si="5"/>
        <v>1.6713091922004875E-3</v>
      </c>
      <c r="Q90" t="str">
        <f t="shared" si="6"/>
        <v>SELL</v>
      </c>
      <c r="R90">
        <f t="shared" si="7"/>
        <v>-22.0800000000017</v>
      </c>
    </row>
    <row r="91" spans="1:18" x14ac:dyDescent="0.2">
      <c r="A91" t="s">
        <v>14</v>
      </c>
      <c r="B91">
        <v>20231106</v>
      </c>
      <c r="C91">
        <v>100052.86</v>
      </c>
      <c r="D91">
        <v>100041.82</v>
      </c>
      <c r="E91">
        <v>1415</v>
      </c>
      <c r="F91">
        <v>1416</v>
      </c>
      <c r="G91" t="s">
        <v>102</v>
      </c>
      <c r="H91">
        <v>-11.039999999993499</v>
      </c>
      <c r="I91">
        <v>1</v>
      </c>
      <c r="J91" t="s">
        <v>15</v>
      </c>
      <c r="K91">
        <v>215.07</v>
      </c>
      <c r="L91">
        <v>215.93</v>
      </c>
      <c r="M91">
        <v>215.87</v>
      </c>
      <c r="N91">
        <v>216.05</v>
      </c>
      <c r="O91" s="1">
        <f t="shared" si="4"/>
        <v>3.9986980982935627E-3</v>
      </c>
      <c r="P91" s="1">
        <f t="shared" si="5"/>
        <v>-2.7786782753669304E-4</v>
      </c>
      <c r="Q91" t="str">
        <f t="shared" si="6"/>
        <v>SELL</v>
      </c>
      <c r="R91">
        <f t="shared" si="7"/>
        <v>-11.039999999993499</v>
      </c>
    </row>
    <row r="92" spans="1:18" x14ac:dyDescent="0.2">
      <c r="A92" t="s">
        <v>14</v>
      </c>
      <c r="B92">
        <v>20231106</v>
      </c>
      <c r="C92">
        <v>100041.82</v>
      </c>
      <c r="D92">
        <v>100029.99</v>
      </c>
      <c r="E92">
        <v>1519</v>
      </c>
      <c r="F92">
        <v>1520</v>
      </c>
      <c r="G92" t="s">
        <v>103</v>
      </c>
      <c r="H92">
        <v>-11.8300000000017</v>
      </c>
      <c r="I92">
        <v>1</v>
      </c>
      <c r="J92" t="s">
        <v>16</v>
      </c>
      <c r="K92">
        <v>218.04</v>
      </c>
      <c r="L92">
        <v>218.91</v>
      </c>
      <c r="M92">
        <v>219.07</v>
      </c>
      <c r="N92">
        <v>218.78</v>
      </c>
      <c r="O92" s="1">
        <f t="shared" si="4"/>
        <v>3.9900935608145893E-3</v>
      </c>
      <c r="P92" s="1">
        <f t="shared" si="5"/>
        <v>7.3089397469283668E-4</v>
      </c>
      <c r="Q92" t="str">
        <f t="shared" si="6"/>
        <v>IDLE</v>
      </c>
      <c r="R92">
        <f t="shared" si="7"/>
        <v>0</v>
      </c>
    </row>
    <row r="93" spans="1:18" x14ac:dyDescent="0.2">
      <c r="A93" t="s">
        <v>14</v>
      </c>
      <c r="B93">
        <v>20231106</v>
      </c>
      <c r="C93">
        <v>100029.99</v>
      </c>
      <c r="D93">
        <v>100027.26</v>
      </c>
      <c r="E93">
        <v>1524</v>
      </c>
      <c r="F93">
        <v>1544</v>
      </c>
      <c r="G93" t="s">
        <v>104</v>
      </c>
      <c r="H93">
        <v>-2.7300000000104698</v>
      </c>
      <c r="I93">
        <v>20</v>
      </c>
      <c r="J93" t="s">
        <v>16</v>
      </c>
      <c r="K93">
        <v>218.64</v>
      </c>
      <c r="L93">
        <v>218.89</v>
      </c>
      <c r="M93">
        <v>219.05</v>
      </c>
      <c r="N93">
        <v>218.86</v>
      </c>
      <c r="O93" s="1">
        <f t="shared" si="4"/>
        <v>1.1434321258689817E-3</v>
      </c>
      <c r="P93" s="1">
        <f t="shared" si="5"/>
        <v>7.3096075654444093E-4</v>
      </c>
      <c r="Q93" t="str">
        <f t="shared" si="6"/>
        <v>IDLE</v>
      </c>
      <c r="R93">
        <f t="shared" si="7"/>
        <v>0</v>
      </c>
    </row>
    <row r="94" spans="1:18" x14ac:dyDescent="0.2">
      <c r="A94" t="s">
        <v>14</v>
      </c>
      <c r="B94">
        <v>20231107</v>
      </c>
      <c r="C94">
        <v>100027.26</v>
      </c>
      <c r="D94">
        <v>100022.66</v>
      </c>
      <c r="E94">
        <v>946</v>
      </c>
      <c r="F94">
        <v>950</v>
      </c>
      <c r="G94" t="s">
        <v>105</v>
      </c>
      <c r="H94">
        <v>-4.59999999999126</v>
      </c>
      <c r="I94">
        <v>4</v>
      </c>
      <c r="J94" t="s">
        <v>15</v>
      </c>
      <c r="K94">
        <v>216.78</v>
      </c>
      <c r="L94">
        <v>216.82</v>
      </c>
      <c r="M94">
        <v>218.39</v>
      </c>
      <c r="N94">
        <v>216.87</v>
      </c>
      <c r="O94" s="1">
        <f t="shared" si="4"/>
        <v>1.8451886705417309E-4</v>
      </c>
      <c r="P94" s="1">
        <f t="shared" si="5"/>
        <v>7.2410294253297813E-3</v>
      </c>
      <c r="Q94" t="str">
        <f t="shared" si="6"/>
        <v>SELL</v>
      </c>
      <c r="R94">
        <f t="shared" si="7"/>
        <v>-4.59999999999126</v>
      </c>
    </row>
    <row r="95" spans="1:18" x14ac:dyDescent="0.2">
      <c r="A95" t="s">
        <v>14</v>
      </c>
      <c r="B95">
        <v>20231107</v>
      </c>
      <c r="C95">
        <v>100022.66</v>
      </c>
      <c r="D95">
        <v>99986.78</v>
      </c>
      <c r="E95">
        <v>954</v>
      </c>
      <c r="F95">
        <v>955</v>
      </c>
      <c r="G95" t="s">
        <v>106</v>
      </c>
      <c r="H95">
        <v>-35.8800000000046</v>
      </c>
      <c r="I95">
        <v>1</v>
      </c>
      <c r="J95" t="s">
        <v>15</v>
      </c>
      <c r="K95">
        <v>216.19</v>
      </c>
      <c r="L95">
        <v>217.22</v>
      </c>
      <c r="M95">
        <v>217.34</v>
      </c>
      <c r="N95">
        <v>217.61</v>
      </c>
      <c r="O95" s="1">
        <f t="shared" si="4"/>
        <v>4.7643276747306729E-3</v>
      </c>
      <c r="P95" s="1">
        <f t="shared" si="5"/>
        <v>5.5243531903137466E-4</v>
      </c>
      <c r="Q95" t="str">
        <f t="shared" si="6"/>
        <v>SELL</v>
      </c>
      <c r="R95">
        <f t="shared" si="7"/>
        <v>-35.8800000000046</v>
      </c>
    </row>
    <row r="96" spans="1:18" x14ac:dyDescent="0.2">
      <c r="A96" t="s">
        <v>14</v>
      </c>
      <c r="B96">
        <v>20231107</v>
      </c>
      <c r="C96">
        <v>99986.78</v>
      </c>
      <c r="D96">
        <v>100009.78</v>
      </c>
      <c r="E96">
        <v>959</v>
      </c>
      <c r="F96">
        <v>1002</v>
      </c>
      <c r="G96" t="s">
        <v>107</v>
      </c>
      <c r="H96">
        <v>23</v>
      </c>
      <c r="I96">
        <v>3</v>
      </c>
      <c r="J96" t="s">
        <v>15</v>
      </c>
      <c r="K96">
        <v>216.81</v>
      </c>
      <c r="L96">
        <v>217.35</v>
      </c>
      <c r="M96">
        <v>217.86</v>
      </c>
      <c r="N96">
        <v>217.1</v>
      </c>
      <c r="O96" s="1">
        <f t="shared" si="4"/>
        <v>2.4906600249066102E-3</v>
      </c>
      <c r="P96" s="1">
        <f t="shared" si="5"/>
        <v>2.3464458247068887E-3</v>
      </c>
      <c r="Q96" t="str">
        <f t="shared" si="6"/>
        <v>SELL</v>
      </c>
      <c r="R96">
        <f t="shared" si="7"/>
        <v>23</v>
      </c>
    </row>
    <row r="97" spans="1:18" x14ac:dyDescent="0.2">
      <c r="A97" s="7" t="s">
        <v>14</v>
      </c>
      <c r="B97" s="7">
        <v>20231107</v>
      </c>
      <c r="C97" s="7">
        <v>100009.78</v>
      </c>
      <c r="D97" s="7">
        <v>100018.06</v>
      </c>
      <c r="E97" s="7">
        <v>1006</v>
      </c>
      <c r="F97" s="7">
        <v>1012</v>
      </c>
      <c r="G97" s="7" t="s">
        <v>108</v>
      </c>
      <c r="H97">
        <v>8.2799999999988305</v>
      </c>
      <c r="I97">
        <v>6</v>
      </c>
      <c r="J97" t="s">
        <v>15</v>
      </c>
      <c r="K97">
        <v>216.59</v>
      </c>
      <c r="L97">
        <v>216.61</v>
      </c>
      <c r="M97">
        <v>217.76</v>
      </c>
      <c r="N97">
        <v>216.52</v>
      </c>
      <c r="O97" s="1">
        <f t="shared" si="4"/>
        <v>9.2340366591336931E-5</v>
      </c>
      <c r="P97" s="1">
        <f t="shared" si="5"/>
        <v>5.3090808365263698E-3</v>
      </c>
      <c r="Q97" t="str">
        <f t="shared" si="6"/>
        <v>IDLE</v>
      </c>
      <c r="R97">
        <f t="shared" si="7"/>
        <v>0</v>
      </c>
    </row>
    <row r="98" spans="1:18" x14ac:dyDescent="0.2">
      <c r="A98" t="s">
        <v>14</v>
      </c>
      <c r="B98">
        <v>20231107</v>
      </c>
      <c r="C98">
        <v>100018.06</v>
      </c>
      <c r="D98">
        <v>100001.5</v>
      </c>
      <c r="E98">
        <v>1016</v>
      </c>
      <c r="F98">
        <v>1019</v>
      </c>
      <c r="G98" t="s">
        <v>109</v>
      </c>
      <c r="H98">
        <v>-16.559999999997601</v>
      </c>
      <c r="I98">
        <v>3</v>
      </c>
      <c r="J98" t="s">
        <v>15</v>
      </c>
      <c r="K98">
        <v>216.07</v>
      </c>
      <c r="L98">
        <v>216.53</v>
      </c>
      <c r="M98">
        <v>216.69</v>
      </c>
      <c r="N98">
        <v>216.71</v>
      </c>
      <c r="O98" s="1">
        <f t="shared" si="4"/>
        <v>2.1289396954691231E-3</v>
      </c>
      <c r="P98" s="1">
        <f t="shared" si="5"/>
        <v>7.3892763127503258E-4</v>
      </c>
      <c r="Q98" t="str">
        <f t="shared" si="6"/>
        <v>SELL</v>
      </c>
      <c r="R98">
        <f t="shared" si="7"/>
        <v>-16.559999999997601</v>
      </c>
    </row>
    <row r="99" spans="1:18" x14ac:dyDescent="0.2">
      <c r="A99" t="s">
        <v>14</v>
      </c>
      <c r="B99">
        <v>20231107</v>
      </c>
      <c r="C99">
        <v>100001.5</v>
      </c>
      <c r="D99">
        <v>99964.7</v>
      </c>
      <c r="E99">
        <v>1023</v>
      </c>
      <c r="F99">
        <v>1025</v>
      </c>
      <c r="G99" t="s">
        <v>110</v>
      </c>
      <c r="H99">
        <v>-36.800000000002903</v>
      </c>
      <c r="I99">
        <v>2</v>
      </c>
      <c r="J99" t="s">
        <v>15</v>
      </c>
      <c r="K99">
        <v>216.11</v>
      </c>
      <c r="L99">
        <v>216.84</v>
      </c>
      <c r="M99">
        <v>216.92</v>
      </c>
      <c r="N99">
        <v>217.24</v>
      </c>
      <c r="O99" s="1">
        <f t="shared" si="4"/>
        <v>3.3779093979917629E-3</v>
      </c>
      <c r="P99" s="1">
        <f t="shared" si="5"/>
        <v>3.6893562073414543E-4</v>
      </c>
      <c r="Q99" t="str">
        <f t="shared" si="6"/>
        <v>SELL</v>
      </c>
      <c r="R99">
        <f t="shared" si="7"/>
        <v>-36.800000000002903</v>
      </c>
    </row>
    <row r="100" spans="1:18" x14ac:dyDescent="0.2">
      <c r="A100" t="s">
        <v>14</v>
      </c>
      <c r="B100">
        <v>20231107</v>
      </c>
      <c r="C100">
        <v>99964.7</v>
      </c>
      <c r="D100">
        <v>99938.94</v>
      </c>
      <c r="E100">
        <v>1029</v>
      </c>
      <c r="F100">
        <v>1032</v>
      </c>
      <c r="G100" t="s">
        <v>111</v>
      </c>
      <c r="H100">
        <v>-25.759999999994701</v>
      </c>
      <c r="I100">
        <v>3</v>
      </c>
      <c r="J100" t="s">
        <v>15</v>
      </c>
      <c r="K100">
        <v>216.5</v>
      </c>
      <c r="L100">
        <v>217.16</v>
      </c>
      <c r="M100">
        <v>217.51</v>
      </c>
      <c r="N100">
        <v>217.44</v>
      </c>
      <c r="O100" s="1">
        <f t="shared" si="4"/>
        <v>3.0484988452654793E-3</v>
      </c>
      <c r="P100" s="1">
        <f t="shared" si="5"/>
        <v>1.6117148646159762E-3</v>
      </c>
      <c r="Q100" t="str">
        <f t="shared" si="6"/>
        <v>SELL</v>
      </c>
      <c r="R100">
        <f t="shared" si="7"/>
        <v>-25.759999999994701</v>
      </c>
    </row>
    <row r="101" spans="1:18" x14ac:dyDescent="0.2">
      <c r="A101" t="s">
        <v>14</v>
      </c>
      <c r="B101">
        <v>20231107</v>
      </c>
      <c r="C101">
        <v>99938.94</v>
      </c>
      <c r="D101">
        <v>99896.62</v>
      </c>
      <c r="E101">
        <v>1036</v>
      </c>
      <c r="F101">
        <v>1049</v>
      </c>
      <c r="G101" t="s">
        <v>112</v>
      </c>
      <c r="H101">
        <v>-42.3200000000069</v>
      </c>
      <c r="I101">
        <v>13</v>
      </c>
      <c r="J101" t="s">
        <v>15</v>
      </c>
      <c r="K101">
        <v>216.89</v>
      </c>
      <c r="L101">
        <v>216.91</v>
      </c>
      <c r="M101">
        <v>217.47</v>
      </c>
      <c r="N101">
        <v>217.37</v>
      </c>
      <c r="O101" s="1">
        <f t="shared" si="4"/>
        <v>9.2212642353262098E-5</v>
      </c>
      <c r="P101" s="1">
        <f t="shared" si="5"/>
        <v>2.5817159190448802E-3</v>
      </c>
      <c r="Q101" t="str">
        <f t="shared" si="6"/>
        <v>IDLE</v>
      </c>
      <c r="R101">
        <f t="shared" si="7"/>
        <v>0</v>
      </c>
    </row>
    <row r="102" spans="1:18" x14ac:dyDescent="0.2">
      <c r="A102" t="s">
        <v>14</v>
      </c>
      <c r="B102">
        <v>20231107</v>
      </c>
      <c r="C102">
        <v>99896.62</v>
      </c>
      <c r="D102">
        <v>99919.37</v>
      </c>
      <c r="E102">
        <v>1053</v>
      </c>
      <c r="F102">
        <v>1105</v>
      </c>
      <c r="G102" t="s">
        <v>113</v>
      </c>
      <c r="H102">
        <v>22.75</v>
      </c>
      <c r="I102">
        <v>12</v>
      </c>
      <c r="J102" t="s">
        <v>15</v>
      </c>
      <c r="K102">
        <v>216.68</v>
      </c>
      <c r="L102">
        <v>217.66</v>
      </c>
      <c r="M102">
        <v>217.69</v>
      </c>
      <c r="N102">
        <v>217.41</v>
      </c>
      <c r="O102" s="1">
        <f t="shared" si="4"/>
        <v>4.5227985970093254E-3</v>
      </c>
      <c r="P102" s="1">
        <f t="shared" si="5"/>
        <v>1.3782964256181529E-4</v>
      </c>
      <c r="Q102" t="str">
        <f t="shared" si="6"/>
        <v>SELL</v>
      </c>
      <c r="R102">
        <f t="shared" si="7"/>
        <v>22.75</v>
      </c>
    </row>
    <row r="103" spans="1:18" x14ac:dyDescent="0.2">
      <c r="A103" t="s">
        <v>14</v>
      </c>
      <c r="B103">
        <v>20231107</v>
      </c>
      <c r="C103">
        <v>99919.37</v>
      </c>
      <c r="D103">
        <v>99892.98</v>
      </c>
      <c r="E103">
        <v>1208</v>
      </c>
      <c r="F103">
        <v>1215</v>
      </c>
      <c r="G103" t="s">
        <v>114</v>
      </c>
      <c r="H103">
        <v>-26.3899999999994</v>
      </c>
      <c r="I103">
        <v>7</v>
      </c>
      <c r="J103" t="s">
        <v>15</v>
      </c>
      <c r="K103">
        <v>217.33</v>
      </c>
      <c r="L103">
        <v>217.41</v>
      </c>
      <c r="M103">
        <v>218.1</v>
      </c>
      <c r="N103">
        <v>217.7</v>
      </c>
      <c r="O103" s="1">
        <f t="shared" si="4"/>
        <v>3.6810380527296793E-4</v>
      </c>
      <c r="P103" s="1">
        <f t="shared" si="5"/>
        <v>3.1737270594729416E-3</v>
      </c>
      <c r="Q103" t="str">
        <f t="shared" si="6"/>
        <v>SELL</v>
      </c>
      <c r="R103">
        <f t="shared" si="7"/>
        <v>-26.3899999999994</v>
      </c>
    </row>
    <row r="104" spans="1:18" x14ac:dyDescent="0.2">
      <c r="A104" t="s">
        <v>14</v>
      </c>
      <c r="B104">
        <v>20231107</v>
      </c>
      <c r="C104">
        <v>99892.98</v>
      </c>
      <c r="D104">
        <v>99877.51</v>
      </c>
      <c r="E104">
        <v>1219</v>
      </c>
      <c r="F104">
        <v>1220</v>
      </c>
      <c r="G104" t="s">
        <v>115</v>
      </c>
      <c r="H104">
        <v>-15.4700000000011</v>
      </c>
      <c r="I104">
        <v>1</v>
      </c>
      <c r="J104" t="s">
        <v>15</v>
      </c>
      <c r="K104">
        <v>217.17</v>
      </c>
      <c r="L104">
        <v>217.87</v>
      </c>
      <c r="M104">
        <v>217.94</v>
      </c>
      <c r="N104">
        <v>218.04</v>
      </c>
      <c r="O104" s="1">
        <f t="shared" si="4"/>
        <v>3.2232813003638672E-3</v>
      </c>
      <c r="P104" s="1">
        <f t="shared" si="5"/>
        <v>3.2129251388446356E-4</v>
      </c>
      <c r="Q104" t="str">
        <f t="shared" si="6"/>
        <v>SELL</v>
      </c>
      <c r="R104">
        <f t="shared" si="7"/>
        <v>-15.4700000000011</v>
      </c>
    </row>
    <row r="105" spans="1:18" x14ac:dyDescent="0.2">
      <c r="A105" t="s">
        <v>14</v>
      </c>
      <c r="B105">
        <v>20231107</v>
      </c>
      <c r="C105">
        <v>99877.51</v>
      </c>
      <c r="D105">
        <v>99873.87</v>
      </c>
      <c r="E105">
        <v>1233</v>
      </c>
      <c r="F105">
        <v>1236</v>
      </c>
      <c r="G105" t="s">
        <v>116</v>
      </c>
      <c r="H105">
        <v>-3.6399999999994099</v>
      </c>
      <c r="I105">
        <v>3</v>
      </c>
      <c r="J105" t="s">
        <v>15</v>
      </c>
      <c r="K105">
        <v>217.47</v>
      </c>
      <c r="L105">
        <v>217.88</v>
      </c>
      <c r="M105">
        <v>218.26</v>
      </c>
      <c r="N105">
        <v>217.92</v>
      </c>
      <c r="O105" s="1">
        <f t="shared" si="4"/>
        <v>1.8853175150594925E-3</v>
      </c>
      <c r="P105" s="1">
        <f t="shared" si="5"/>
        <v>1.7440793097116547E-3</v>
      </c>
      <c r="Q105" t="str">
        <f t="shared" si="6"/>
        <v>SELL</v>
      </c>
      <c r="R105">
        <f t="shared" si="7"/>
        <v>-3.6399999999994099</v>
      </c>
    </row>
    <row r="106" spans="1:18" x14ac:dyDescent="0.2">
      <c r="A106" t="s">
        <v>14</v>
      </c>
      <c r="B106">
        <v>20231107</v>
      </c>
      <c r="C106">
        <v>99873.87</v>
      </c>
      <c r="D106">
        <v>99838.38</v>
      </c>
      <c r="E106">
        <v>1240</v>
      </c>
      <c r="F106">
        <v>1243</v>
      </c>
      <c r="G106" t="s">
        <v>117</v>
      </c>
      <c r="H106">
        <v>-35.489999999990602</v>
      </c>
      <c r="I106">
        <v>3</v>
      </c>
      <c r="J106" t="s">
        <v>15</v>
      </c>
      <c r="K106">
        <v>217.56</v>
      </c>
      <c r="L106">
        <v>217.89</v>
      </c>
      <c r="M106">
        <v>218.17</v>
      </c>
      <c r="N106">
        <v>218.28</v>
      </c>
      <c r="O106" s="1">
        <f t="shared" si="4"/>
        <v>1.5168229453943471E-3</v>
      </c>
      <c r="P106" s="1">
        <f t="shared" si="5"/>
        <v>1.285052090504335E-3</v>
      </c>
      <c r="Q106" t="str">
        <f t="shared" si="6"/>
        <v>SELL</v>
      </c>
      <c r="R106">
        <f t="shared" si="7"/>
        <v>-35.489999999990602</v>
      </c>
    </row>
    <row r="107" spans="1:18" x14ac:dyDescent="0.2">
      <c r="A107" t="s">
        <v>14</v>
      </c>
      <c r="B107">
        <v>20231107</v>
      </c>
      <c r="C107">
        <v>99838.38</v>
      </c>
      <c r="D107">
        <v>99816.54</v>
      </c>
      <c r="E107">
        <v>1258</v>
      </c>
      <c r="F107">
        <v>1259</v>
      </c>
      <c r="G107" t="s">
        <v>118</v>
      </c>
      <c r="H107">
        <v>-21.840000000010999</v>
      </c>
      <c r="I107">
        <v>1</v>
      </c>
      <c r="J107" t="s">
        <v>15</v>
      </c>
      <c r="K107">
        <v>217.8</v>
      </c>
      <c r="L107">
        <v>218.26</v>
      </c>
      <c r="M107">
        <v>218.24</v>
      </c>
      <c r="N107">
        <v>218.5</v>
      </c>
      <c r="O107" s="1">
        <f t="shared" si="4"/>
        <v>2.1120293847565197E-3</v>
      </c>
      <c r="P107" s="1">
        <f t="shared" si="5"/>
        <v>-9.1633831210358174E-5</v>
      </c>
      <c r="Q107" t="str">
        <f t="shared" si="6"/>
        <v>SELL</v>
      </c>
      <c r="R107">
        <f t="shared" si="7"/>
        <v>-21.840000000010999</v>
      </c>
    </row>
    <row r="108" spans="1:18" x14ac:dyDescent="0.2">
      <c r="A108" t="s">
        <v>14</v>
      </c>
      <c r="B108">
        <v>20231107</v>
      </c>
      <c r="C108">
        <v>99816.54</v>
      </c>
      <c r="D108">
        <v>99884.04</v>
      </c>
      <c r="E108">
        <v>1349</v>
      </c>
      <c r="F108">
        <v>1443</v>
      </c>
      <c r="G108" t="s">
        <v>119</v>
      </c>
      <c r="H108">
        <v>67.5</v>
      </c>
      <c r="I108">
        <v>54</v>
      </c>
      <c r="J108" t="s">
        <v>16</v>
      </c>
      <c r="K108">
        <v>219.78</v>
      </c>
      <c r="L108">
        <v>220.44</v>
      </c>
      <c r="M108">
        <v>220.55</v>
      </c>
      <c r="N108">
        <v>221.19</v>
      </c>
      <c r="O108" s="1">
        <f t="shared" si="4"/>
        <v>3.0030030030030463E-3</v>
      </c>
      <c r="P108" s="1">
        <f t="shared" si="5"/>
        <v>4.9900199600805273E-4</v>
      </c>
      <c r="Q108" t="str">
        <f t="shared" si="6"/>
        <v>IDLE</v>
      </c>
      <c r="R108">
        <f t="shared" si="7"/>
        <v>0</v>
      </c>
    </row>
    <row r="109" spans="1:18" x14ac:dyDescent="0.2">
      <c r="A109" t="s">
        <v>14</v>
      </c>
      <c r="B109">
        <v>20231107</v>
      </c>
      <c r="C109">
        <v>99884.04</v>
      </c>
      <c r="D109">
        <v>99963.24</v>
      </c>
      <c r="E109">
        <v>1517</v>
      </c>
      <c r="F109">
        <v>1536</v>
      </c>
      <c r="G109" t="s">
        <v>120</v>
      </c>
      <c r="H109">
        <v>79.200000000011599</v>
      </c>
      <c r="I109">
        <v>19</v>
      </c>
      <c r="J109" t="s">
        <v>16</v>
      </c>
      <c r="K109">
        <v>220.99</v>
      </c>
      <c r="L109">
        <v>221.4</v>
      </c>
      <c r="M109">
        <v>221.58</v>
      </c>
      <c r="N109">
        <v>222.28</v>
      </c>
      <c r="O109" s="1">
        <f t="shared" si="4"/>
        <v>1.8552875695732052E-3</v>
      </c>
      <c r="P109" s="1">
        <f t="shared" si="5"/>
        <v>8.1300813008122752E-4</v>
      </c>
      <c r="Q109" t="str">
        <f t="shared" si="6"/>
        <v>IDLE</v>
      </c>
      <c r="R109">
        <f t="shared" si="7"/>
        <v>0</v>
      </c>
    </row>
    <row r="110" spans="1:18" x14ac:dyDescent="0.2">
      <c r="A110" t="s">
        <v>14</v>
      </c>
      <c r="B110">
        <v>20231107</v>
      </c>
      <c r="C110">
        <v>99963.24</v>
      </c>
      <c r="D110">
        <v>99934.76</v>
      </c>
      <c r="E110">
        <v>1540</v>
      </c>
      <c r="F110">
        <v>1554</v>
      </c>
      <c r="G110" t="s">
        <v>121</v>
      </c>
      <c r="H110">
        <v>-28.480000000010399</v>
      </c>
      <c r="I110">
        <v>14</v>
      </c>
      <c r="J110" t="s">
        <v>16</v>
      </c>
      <c r="K110">
        <v>222.27</v>
      </c>
      <c r="L110">
        <v>222.28</v>
      </c>
      <c r="M110">
        <v>222.92</v>
      </c>
      <c r="N110">
        <v>221.96</v>
      </c>
      <c r="O110" s="1">
        <f t="shared" si="4"/>
        <v>4.499032707960815E-5</v>
      </c>
      <c r="P110" s="1">
        <f t="shared" si="5"/>
        <v>2.8792513946374054E-3</v>
      </c>
      <c r="Q110" t="str">
        <f t="shared" si="6"/>
        <v>IDLE</v>
      </c>
      <c r="R110">
        <f t="shared" si="7"/>
        <v>0</v>
      </c>
    </row>
    <row r="111" spans="1:18" x14ac:dyDescent="0.2">
      <c r="A111" t="s">
        <v>14</v>
      </c>
      <c r="B111">
        <v>20231108</v>
      </c>
      <c r="C111">
        <v>99934.76</v>
      </c>
      <c r="D111">
        <v>99909.56</v>
      </c>
      <c r="E111">
        <v>946</v>
      </c>
      <c r="F111">
        <v>951</v>
      </c>
      <c r="G111" t="s">
        <v>122</v>
      </c>
      <c r="H111">
        <v>-25.199999999997001</v>
      </c>
      <c r="I111">
        <v>5</v>
      </c>
      <c r="J111" t="s">
        <v>15</v>
      </c>
      <c r="K111">
        <v>220.17</v>
      </c>
      <c r="L111">
        <v>220.49</v>
      </c>
      <c r="M111">
        <v>221.36</v>
      </c>
      <c r="N111">
        <v>220.77</v>
      </c>
      <c r="O111" s="1">
        <f t="shared" si="4"/>
        <v>1.4534223554527603E-3</v>
      </c>
      <c r="P111" s="1">
        <f t="shared" si="5"/>
        <v>3.9457571771963629E-3</v>
      </c>
      <c r="Q111" t="str">
        <f t="shared" si="6"/>
        <v>SELL</v>
      </c>
      <c r="R111">
        <f t="shared" si="7"/>
        <v>-25.199999999997001</v>
      </c>
    </row>
    <row r="112" spans="1:18" x14ac:dyDescent="0.2">
      <c r="A112" t="s">
        <v>14</v>
      </c>
      <c r="B112">
        <v>20231108</v>
      </c>
      <c r="C112">
        <v>99909.56</v>
      </c>
      <c r="D112">
        <v>100076.96</v>
      </c>
      <c r="E112">
        <v>955</v>
      </c>
      <c r="F112">
        <v>1006</v>
      </c>
      <c r="G112" t="s">
        <v>123</v>
      </c>
      <c r="H112">
        <v>167.40000000000799</v>
      </c>
      <c r="I112">
        <v>11</v>
      </c>
      <c r="J112" t="s">
        <v>15</v>
      </c>
      <c r="K112">
        <v>220.26</v>
      </c>
      <c r="L112">
        <v>221.37</v>
      </c>
      <c r="M112">
        <v>221.17</v>
      </c>
      <c r="N112">
        <v>219.51</v>
      </c>
      <c r="O112" s="1">
        <f t="shared" si="4"/>
        <v>5.0394987741759767E-3</v>
      </c>
      <c r="P112" s="1">
        <f t="shared" si="5"/>
        <v>-9.0346478745995107E-4</v>
      </c>
      <c r="Q112" t="str">
        <f t="shared" si="6"/>
        <v>SELL</v>
      </c>
      <c r="R112">
        <f t="shared" si="7"/>
        <v>167.40000000000799</v>
      </c>
    </row>
    <row r="113" spans="1:18" x14ac:dyDescent="0.2">
      <c r="A113" t="s">
        <v>14</v>
      </c>
      <c r="B113">
        <v>20231108</v>
      </c>
      <c r="C113">
        <v>100076.96</v>
      </c>
      <c r="D113">
        <v>100052.39</v>
      </c>
      <c r="E113">
        <v>1010</v>
      </c>
      <c r="F113">
        <v>1013</v>
      </c>
      <c r="G113" t="s">
        <v>124</v>
      </c>
      <c r="H113">
        <v>-24.5700000000069</v>
      </c>
      <c r="I113">
        <v>3</v>
      </c>
      <c r="J113" t="s">
        <v>15</v>
      </c>
      <c r="K113">
        <v>219.01</v>
      </c>
      <c r="L113">
        <v>219.71</v>
      </c>
      <c r="M113">
        <v>219.92</v>
      </c>
      <c r="N113">
        <v>219.98</v>
      </c>
      <c r="O113" s="1">
        <f t="shared" si="4"/>
        <v>3.1962010867083723E-3</v>
      </c>
      <c r="P113" s="1">
        <f t="shared" si="5"/>
        <v>9.5580537981865277E-4</v>
      </c>
      <c r="Q113" t="str">
        <f t="shared" si="6"/>
        <v>SELL</v>
      </c>
      <c r="R113">
        <f t="shared" si="7"/>
        <v>-24.5700000000069</v>
      </c>
    </row>
    <row r="114" spans="1:18" x14ac:dyDescent="0.2">
      <c r="A114" t="s">
        <v>14</v>
      </c>
      <c r="B114">
        <v>20231108</v>
      </c>
      <c r="C114">
        <v>100052.39</v>
      </c>
      <c r="D114">
        <v>100119.73</v>
      </c>
      <c r="E114">
        <v>1017</v>
      </c>
      <c r="F114">
        <v>1032</v>
      </c>
      <c r="G114" t="s">
        <v>125</v>
      </c>
      <c r="H114">
        <v>67.339999999996493</v>
      </c>
      <c r="I114">
        <v>15</v>
      </c>
      <c r="J114" t="s">
        <v>15</v>
      </c>
      <c r="K114">
        <v>219.37</v>
      </c>
      <c r="L114">
        <v>219.4</v>
      </c>
      <c r="M114">
        <v>219.97</v>
      </c>
      <c r="N114">
        <v>218.66</v>
      </c>
      <c r="O114" s="1">
        <f t="shared" si="4"/>
        <v>1.3675525368106456E-4</v>
      </c>
      <c r="P114" s="1">
        <f t="shared" si="5"/>
        <v>2.5979945305378838E-3</v>
      </c>
      <c r="Q114" t="str">
        <f t="shared" si="6"/>
        <v>SELL</v>
      </c>
      <c r="R114">
        <f t="shared" si="7"/>
        <v>67.339999999996493</v>
      </c>
    </row>
    <row r="115" spans="1:18" x14ac:dyDescent="0.2">
      <c r="A115" t="s">
        <v>14</v>
      </c>
      <c r="B115">
        <v>20231108</v>
      </c>
      <c r="C115">
        <v>100119.73</v>
      </c>
      <c r="D115">
        <v>100088.79</v>
      </c>
      <c r="E115">
        <v>1036</v>
      </c>
      <c r="F115">
        <v>1037</v>
      </c>
      <c r="G115" t="s">
        <v>126</v>
      </c>
      <c r="H115">
        <v>-30.9400000000023</v>
      </c>
      <c r="I115">
        <v>1</v>
      </c>
      <c r="J115" t="s">
        <v>15</v>
      </c>
      <c r="K115">
        <v>218.16</v>
      </c>
      <c r="L115">
        <v>218.94</v>
      </c>
      <c r="M115">
        <v>218.91</v>
      </c>
      <c r="N115">
        <v>219.28</v>
      </c>
      <c r="O115" s="1">
        <f t="shared" si="4"/>
        <v>3.5753575357535539E-3</v>
      </c>
      <c r="P115" s="1">
        <f t="shared" si="5"/>
        <v>-1.3702384214853147E-4</v>
      </c>
      <c r="Q115" t="str">
        <f t="shared" si="6"/>
        <v>SELL</v>
      </c>
      <c r="R115">
        <f t="shared" si="7"/>
        <v>-30.9400000000023</v>
      </c>
    </row>
    <row r="116" spans="1:18" x14ac:dyDescent="0.2">
      <c r="A116" t="s">
        <v>14</v>
      </c>
      <c r="B116">
        <v>20231108</v>
      </c>
      <c r="C116">
        <v>100088.79</v>
      </c>
      <c r="D116">
        <v>100044.2</v>
      </c>
      <c r="E116">
        <v>1041</v>
      </c>
      <c r="F116">
        <v>1042</v>
      </c>
      <c r="G116" t="s">
        <v>127</v>
      </c>
      <c r="H116">
        <v>-44.5899999999965</v>
      </c>
      <c r="I116">
        <v>1</v>
      </c>
      <c r="J116" t="s">
        <v>15</v>
      </c>
      <c r="K116">
        <v>218.59</v>
      </c>
      <c r="L116">
        <v>219.15</v>
      </c>
      <c r="M116">
        <v>219.21</v>
      </c>
      <c r="N116">
        <v>219.64</v>
      </c>
      <c r="O116" s="1">
        <f t="shared" si="4"/>
        <v>2.5618738277140007E-3</v>
      </c>
      <c r="P116" s="1">
        <f t="shared" si="5"/>
        <v>2.7378507871311797E-4</v>
      </c>
      <c r="Q116" t="str">
        <f t="shared" si="6"/>
        <v>SELL</v>
      </c>
      <c r="R116">
        <f t="shared" si="7"/>
        <v>-44.5899999999965</v>
      </c>
    </row>
    <row r="117" spans="1:18" x14ac:dyDescent="0.2">
      <c r="A117" t="s">
        <v>14</v>
      </c>
      <c r="B117">
        <v>20231108</v>
      </c>
      <c r="C117">
        <v>100044.2</v>
      </c>
      <c r="D117">
        <v>100031.46</v>
      </c>
      <c r="E117">
        <v>1208</v>
      </c>
      <c r="F117">
        <v>1209</v>
      </c>
      <c r="G117" t="s">
        <v>128</v>
      </c>
      <c r="H117">
        <v>-12.7399999999906</v>
      </c>
      <c r="I117">
        <v>1</v>
      </c>
      <c r="J117" t="s">
        <v>15</v>
      </c>
      <c r="K117">
        <v>218.46</v>
      </c>
      <c r="L117">
        <v>218.48</v>
      </c>
      <c r="M117">
        <v>219.5</v>
      </c>
      <c r="N117">
        <v>218.62</v>
      </c>
      <c r="O117" s="1">
        <f t="shared" si="4"/>
        <v>9.1549940492541282E-5</v>
      </c>
      <c r="P117" s="1">
        <f t="shared" si="5"/>
        <v>4.6686195532772423E-3</v>
      </c>
      <c r="Q117" t="str">
        <f t="shared" si="6"/>
        <v>IDLE</v>
      </c>
      <c r="R117">
        <f t="shared" si="7"/>
        <v>0</v>
      </c>
    </row>
    <row r="118" spans="1:18" x14ac:dyDescent="0.2">
      <c r="A118" t="s">
        <v>14</v>
      </c>
      <c r="B118">
        <v>20231108</v>
      </c>
      <c r="C118">
        <v>100031.46</v>
      </c>
      <c r="D118">
        <v>100064.22</v>
      </c>
      <c r="E118">
        <v>1213</v>
      </c>
      <c r="F118">
        <v>1237</v>
      </c>
      <c r="G118" t="s">
        <v>129</v>
      </c>
      <c r="H118">
        <v>32.759999999994697</v>
      </c>
      <c r="I118">
        <v>24</v>
      </c>
      <c r="J118" t="s">
        <v>15</v>
      </c>
      <c r="K118">
        <v>218.45</v>
      </c>
      <c r="L118">
        <v>218.73</v>
      </c>
      <c r="M118">
        <v>219.07</v>
      </c>
      <c r="N118">
        <v>218.37</v>
      </c>
      <c r="O118" s="1">
        <f t="shared" si="4"/>
        <v>1.2817578393224949E-3</v>
      </c>
      <c r="P118" s="1">
        <f t="shared" si="5"/>
        <v>1.5544278334018724E-3</v>
      </c>
      <c r="Q118" t="str">
        <f t="shared" si="6"/>
        <v>SELL</v>
      </c>
      <c r="R118">
        <f t="shared" si="7"/>
        <v>32.759999999994697</v>
      </c>
    </row>
    <row r="119" spans="1:18" x14ac:dyDescent="0.2">
      <c r="A119" t="s">
        <v>14</v>
      </c>
      <c r="B119">
        <v>20231108</v>
      </c>
      <c r="C119">
        <v>100064.22</v>
      </c>
      <c r="D119">
        <v>100047.12</v>
      </c>
      <c r="E119">
        <v>1505</v>
      </c>
      <c r="F119">
        <v>1510</v>
      </c>
      <c r="G119" t="s">
        <v>130</v>
      </c>
      <c r="H119">
        <v>-17.100000000005799</v>
      </c>
      <c r="I119">
        <v>5</v>
      </c>
      <c r="J119" t="s">
        <v>16</v>
      </c>
      <c r="K119">
        <v>220.71</v>
      </c>
      <c r="L119">
        <v>221.4</v>
      </c>
      <c r="M119">
        <v>221.39</v>
      </c>
      <c r="N119">
        <v>221.21</v>
      </c>
      <c r="O119" s="1">
        <f t="shared" si="4"/>
        <v>3.1262742965882939E-3</v>
      </c>
      <c r="P119" s="1">
        <f t="shared" si="5"/>
        <v>-4.5167118337907652E-5</v>
      </c>
      <c r="Q119" t="str">
        <f t="shared" si="6"/>
        <v>IDLE</v>
      </c>
      <c r="R119">
        <f t="shared" si="7"/>
        <v>0</v>
      </c>
    </row>
    <row r="120" spans="1:18" x14ac:dyDescent="0.2">
      <c r="A120" t="s">
        <v>14</v>
      </c>
      <c r="B120">
        <v>20231108</v>
      </c>
      <c r="C120">
        <v>100047.12</v>
      </c>
      <c r="D120">
        <v>100111.92</v>
      </c>
      <c r="E120">
        <v>1514</v>
      </c>
      <c r="F120">
        <v>1557</v>
      </c>
      <c r="G120" t="s">
        <v>131</v>
      </c>
      <c r="H120">
        <v>64.800000000002896</v>
      </c>
      <c r="I120">
        <v>43</v>
      </c>
      <c r="J120" t="s">
        <v>16</v>
      </c>
      <c r="K120">
        <v>221.16</v>
      </c>
      <c r="L120">
        <v>221.6</v>
      </c>
      <c r="M120">
        <v>221.56</v>
      </c>
      <c r="N120">
        <v>222.32</v>
      </c>
      <c r="O120" s="1">
        <f t="shared" si="4"/>
        <v>1.9895098571169889E-3</v>
      </c>
      <c r="P120" s="1">
        <f t="shared" si="5"/>
        <v>-1.8050541516245744E-4</v>
      </c>
      <c r="Q120" t="str">
        <f t="shared" si="6"/>
        <v>IDLE</v>
      </c>
      <c r="R120">
        <f t="shared" si="7"/>
        <v>0</v>
      </c>
    </row>
    <row r="121" spans="1:18" x14ac:dyDescent="0.2">
      <c r="A121" t="s">
        <v>14</v>
      </c>
      <c r="B121">
        <v>20231109</v>
      </c>
      <c r="C121">
        <v>100111.92</v>
      </c>
      <c r="D121">
        <v>100274.81</v>
      </c>
      <c r="E121">
        <v>933</v>
      </c>
      <c r="F121">
        <v>942</v>
      </c>
      <c r="G121" t="s">
        <v>132</v>
      </c>
      <c r="H121">
        <v>162.88999999999899</v>
      </c>
      <c r="I121">
        <v>9</v>
      </c>
      <c r="J121" t="s">
        <v>15</v>
      </c>
      <c r="K121">
        <v>218.83</v>
      </c>
      <c r="L121">
        <v>219.34</v>
      </c>
      <c r="M121">
        <v>223.29</v>
      </c>
      <c r="N121">
        <v>217.55</v>
      </c>
      <c r="O121" s="1">
        <f t="shared" si="4"/>
        <v>2.3305762464012059E-3</v>
      </c>
      <c r="P121" s="1">
        <f t="shared" si="5"/>
        <v>1.8008571168049547E-2</v>
      </c>
      <c r="Q121" t="str">
        <f t="shared" si="6"/>
        <v>SELL</v>
      </c>
      <c r="R121">
        <f t="shared" si="7"/>
        <v>162.88999999999899</v>
      </c>
    </row>
    <row r="122" spans="1:18" x14ac:dyDescent="0.2">
      <c r="A122" t="s">
        <v>14</v>
      </c>
      <c r="B122">
        <v>20231109</v>
      </c>
      <c r="C122">
        <v>100274.81</v>
      </c>
      <c r="D122">
        <v>100264.69</v>
      </c>
      <c r="E122">
        <v>946</v>
      </c>
      <c r="F122">
        <v>953</v>
      </c>
      <c r="G122" t="s">
        <v>133</v>
      </c>
      <c r="H122">
        <v>-10.119999999995301</v>
      </c>
      <c r="I122">
        <v>7</v>
      </c>
      <c r="J122" t="s">
        <v>15</v>
      </c>
      <c r="K122">
        <v>216.59</v>
      </c>
      <c r="L122">
        <v>216.71</v>
      </c>
      <c r="M122">
        <v>218.04</v>
      </c>
      <c r="N122">
        <v>216.82</v>
      </c>
      <c r="O122" s="1">
        <f t="shared" si="4"/>
        <v>5.540421995475775E-4</v>
      </c>
      <c r="P122" s="1">
        <f t="shared" si="5"/>
        <v>6.13723409164324E-3</v>
      </c>
      <c r="Q122" t="str">
        <f t="shared" si="6"/>
        <v>SELL</v>
      </c>
      <c r="R122">
        <f t="shared" si="7"/>
        <v>-10.119999999995301</v>
      </c>
    </row>
    <row r="123" spans="1:18" x14ac:dyDescent="0.2">
      <c r="A123" t="s">
        <v>14</v>
      </c>
      <c r="B123">
        <v>20231109</v>
      </c>
      <c r="C123">
        <v>100264.69</v>
      </c>
      <c r="D123">
        <v>100399.93</v>
      </c>
      <c r="E123">
        <v>957</v>
      </c>
      <c r="F123">
        <v>1015</v>
      </c>
      <c r="G123" t="s">
        <v>134</v>
      </c>
      <c r="H123">
        <v>135.23999999999</v>
      </c>
      <c r="I123">
        <v>18</v>
      </c>
      <c r="J123" t="s">
        <v>15</v>
      </c>
      <c r="K123">
        <v>216.11</v>
      </c>
      <c r="L123">
        <v>216.8</v>
      </c>
      <c r="M123">
        <v>217.06</v>
      </c>
      <c r="N123">
        <v>215.33</v>
      </c>
      <c r="O123" s="1">
        <f t="shared" si="4"/>
        <v>3.1928184720744213E-3</v>
      </c>
      <c r="P123" s="1">
        <f t="shared" si="5"/>
        <v>1.1992619926199932E-3</v>
      </c>
      <c r="Q123" t="str">
        <f t="shared" si="6"/>
        <v>SELL</v>
      </c>
      <c r="R123">
        <f t="shared" si="7"/>
        <v>135.23999999999</v>
      </c>
    </row>
    <row r="124" spans="1:18" x14ac:dyDescent="0.2">
      <c r="A124" t="s">
        <v>14</v>
      </c>
      <c r="B124">
        <v>20231109</v>
      </c>
      <c r="C124">
        <v>100399.93</v>
      </c>
      <c r="D124">
        <v>100450.15</v>
      </c>
      <c r="E124">
        <v>1019</v>
      </c>
      <c r="F124">
        <v>1028</v>
      </c>
      <c r="G124" t="s">
        <v>135</v>
      </c>
      <c r="H124">
        <v>50.2200000000011</v>
      </c>
      <c r="I124">
        <v>9</v>
      </c>
      <c r="J124" t="s">
        <v>15</v>
      </c>
      <c r="K124">
        <v>214.41</v>
      </c>
      <c r="L124">
        <v>214.7</v>
      </c>
      <c r="M124">
        <v>215.21</v>
      </c>
      <c r="N124">
        <v>214.16</v>
      </c>
      <c r="O124" s="1">
        <f t="shared" si="4"/>
        <v>1.3525488549974707E-3</v>
      </c>
      <c r="P124" s="1">
        <f t="shared" si="5"/>
        <v>2.3754075454123225E-3</v>
      </c>
      <c r="Q124" t="str">
        <f t="shared" si="6"/>
        <v>SELL</v>
      </c>
      <c r="R124">
        <f t="shared" si="7"/>
        <v>50.2200000000011</v>
      </c>
    </row>
    <row r="125" spans="1:18" x14ac:dyDescent="0.2">
      <c r="A125" t="s">
        <v>14</v>
      </c>
      <c r="B125">
        <v>20231109</v>
      </c>
      <c r="C125">
        <v>100450.15</v>
      </c>
      <c r="D125">
        <v>100427.83</v>
      </c>
      <c r="E125">
        <v>1032</v>
      </c>
      <c r="F125">
        <v>1039</v>
      </c>
      <c r="G125" t="s">
        <v>136</v>
      </c>
      <c r="H125">
        <v>-22.319999999992401</v>
      </c>
      <c r="I125">
        <v>7</v>
      </c>
      <c r="J125" t="s">
        <v>15</v>
      </c>
      <c r="K125">
        <v>213.65</v>
      </c>
      <c r="L125">
        <v>214.15</v>
      </c>
      <c r="M125">
        <v>214.34</v>
      </c>
      <c r="N125">
        <v>214.39</v>
      </c>
      <c r="O125" s="1">
        <f t="shared" si="4"/>
        <v>2.3402761525859184E-3</v>
      </c>
      <c r="P125" s="1">
        <f t="shared" si="5"/>
        <v>8.8722857809941935E-4</v>
      </c>
      <c r="Q125" t="str">
        <f t="shared" si="6"/>
        <v>SELL</v>
      </c>
      <c r="R125">
        <f t="shared" si="7"/>
        <v>-22.319999999992401</v>
      </c>
    </row>
    <row r="126" spans="1:18" x14ac:dyDescent="0.2">
      <c r="A126" t="s">
        <v>14</v>
      </c>
      <c r="B126">
        <v>20231109</v>
      </c>
      <c r="C126">
        <v>100427.83</v>
      </c>
      <c r="D126">
        <v>100384.12</v>
      </c>
      <c r="E126">
        <v>1043</v>
      </c>
      <c r="F126">
        <v>1044</v>
      </c>
      <c r="G126" t="s">
        <v>137</v>
      </c>
      <c r="H126">
        <v>-43.710000000006403</v>
      </c>
      <c r="I126">
        <v>1</v>
      </c>
      <c r="J126" t="s">
        <v>15</v>
      </c>
      <c r="K126">
        <v>213.72</v>
      </c>
      <c r="L126">
        <v>214.35</v>
      </c>
      <c r="M126">
        <v>214.48</v>
      </c>
      <c r="N126">
        <v>214.82</v>
      </c>
      <c r="O126" s="1">
        <f t="shared" si="4"/>
        <v>2.9477821448624653E-3</v>
      </c>
      <c r="P126" s="1">
        <f t="shared" si="5"/>
        <v>6.0648472125035546E-4</v>
      </c>
      <c r="Q126" t="str">
        <f t="shared" si="6"/>
        <v>SELL</v>
      </c>
      <c r="R126">
        <f t="shared" si="7"/>
        <v>-43.710000000006403</v>
      </c>
    </row>
    <row r="127" spans="1:18" x14ac:dyDescent="0.2">
      <c r="A127" t="s">
        <v>14</v>
      </c>
      <c r="B127">
        <v>20231109</v>
      </c>
      <c r="C127">
        <v>100384.12</v>
      </c>
      <c r="D127">
        <v>100365.52</v>
      </c>
      <c r="E127">
        <v>1048</v>
      </c>
      <c r="F127">
        <v>1054</v>
      </c>
      <c r="G127" t="s">
        <v>138</v>
      </c>
      <c r="H127">
        <v>-18.599999999991201</v>
      </c>
      <c r="I127">
        <v>6</v>
      </c>
      <c r="J127" t="s">
        <v>15</v>
      </c>
      <c r="K127">
        <v>214.11</v>
      </c>
      <c r="L127">
        <v>214.52</v>
      </c>
      <c r="M127">
        <v>214.9</v>
      </c>
      <c r="N127">
        <v>214.72</v>
      </c>
      <c r="O127" s="1">
        <f t="shared" si="4"/>
        <v>1.9149035542478376E-3</v>
      </c>
      <c r="P127" s="1">
        <f t="shared" si="5"/>
        <v>1.7713966063770403E-3</v>
      </c>
      <c r="Q127" t="str">
        <f t="shared" si="6"/>
        <v>SELL</v>
      </c>
      <c r="R127">
        <f t="shared" si="7"/>
        <v>-18.599999999991201</v>
      </c>
    </row>
    <row r="128" spans="1:18" x14ac:dyDescent="0.2">
      <c r="A128" t="s">
        <v>14</v>
      </c>
      <c r="B128">
        <v>20231109</v>
      </c>
      <c r="C128">
        <v>100365.52</v>
      </c>
      <c r="D128">
        <v>100315.3</v>
      </c>
      <c r="E128">
        <v>1058</v>
      </c>
      <c r="F128">
        <v>1101</v>
      </c>
      <c r="G128" t="s">
        <v>139</v>
      </c>
      <c r="H128">
        <v>-50.2200000000011</v>
      </c>
      <c r="I128">
        <v>3</v>
      </c>
      <c r="J128" t="s">
        <v>15</v>
      </c>
      <c r="K128">
        <v>213.87</v>
      </c>
      <c r="L128">
        <v>213.72</v>
      </c>
      <c r="M128">
        <v>214.71</v>
      </c>
      <c r="N128">
        <v>214.26</v>
      </c>
      <c r="O128" s="1">
        <f t="shared" si="4"/>
        <v>-7.0136063964088002E-4</v>
      </c>
      <c r="P128" s="1">
        <f t="shared" si="5"/>
        <v>4.6322290847837788E-3</v>
      </c>
      <c r="Q128" t="str">
        <f t="shared" si="6"/>
        <v>IDLE</v>
      </c>
      <c r="R128">
        <f t="shared" si="7"/>
        <v>0</v>
      </c>
    </row>
    <row r="129" spans="1:18" x14ac:dyDescent="0.2">
      <c r="A129" t="s">
        <v>14</v>
      </c>
      <c r="B129">
        <v>20231109</v>
      </c>
      <c r="C129">
        <v>100315.3</v>
      </c>
      <c r="D129">
        <v>100431.55</v>
      </c>
      <c r="E129">
        <v>1121</v>
      </c>
      <c r="F129">
        <v>1149</v>
      </c>
      <c r="G129" t="s">
        <v>140</v>
      </c>
      <c r="H129">
        <v>116.25</v>
      </c>
      <c r="I129">
        <v>28</v>
      </c>
      <c r="J129" t="s">
        <v>15</v>
      </c>
      <c r="K129">
        <v>213.88</v>
      </c>
      <c r="L129">
        <v>213.76</v>
      </c>
      <c r="M129">
        <v>214.91</v>
      </c>
      <c r="N129">
        <v>212.51</v>
      </c>
      <c r="O129" s="1">
        <f t="shared" si="4"/>
        <v>-5.6106227791286045E-4</v>
      </c>
      <c r="P129" s="1">
        <f t="shared" si="5"/>
        <v>5.3798652694612148E-3</v>
      </c>
      <c r="Q129" t="str">
        <f t="shared" si="6"/>
        <v>IDLE</v>
      </c>
      <c r="R129">
        <f t="shared" si="7"/>
        <v>0</v>
      </c>
    </row>
    <row r="130" spans="1:18" x14ac:dyDescent="0.2">
      <c r="A130" t="s">
        <v>14</v>
      </c>
      <c r="B130">
        <v>20231109</v>
      </c>
      <c r="C130">
        <v>100431.55</v>
      </c>
      <c r="D130">
        <v>100425.91</v>
      </c>
      <c r="E130">
        <v>1158</v>
      </c>
      <c r="F130">
        <v>1159</v>
      </c>
      <c r="G130" t="s">
        <v>141</v>
      </c>
      <c r="H130">
        <v>-5.6399999999994099</v>
      </c>
      <c r="I130">
        <v>1</v>
      </c>
      <c r="J130" t="s">
        <v>15</v>
      </c>
      <c r="K130">
        <v>211.95</v>
      </c>
      <c r="L130">
        <v>212.15</v>
      </c>
      <c r="M130">
        <v>213.16</v>
      </c>
      <c r="N130">
        <v>212.21</v>
      </c>
      <c r="O130" s="1">
        <f t="shared" si="4"/>
        <v>9.4361877801385496E-4</v>
      </c>
      <c r="P130" s="1">
        <f t="shared" si="5"/>
        <v>4.7607824652369235E-3</v>
      </c>
      <c r="Q130" t="str">
        <f t="shared" si="6"/>
        <v>SELL</v>
      </c>
      <c r="R130">
        <f t="shared" si="7"/>
        <v>-5.6399999999994099</v>
      </c>
    </row>
    <row r="131" spans="1:18" x14ac:dyDescent="0.2">
      <c r="A131" t="s">
        <v>14</v>
      </c>
      <c r="B131">
        <v>20231109</v>
      </c>
      <c r="C131">
        <v>100425.91</v>
      </c>
      <c r="D131">
        <v>100575.37</v>
      </c>
      <c r="E131">
        <v>1203</v>
      </c>
      <c r="F131">
        <v>1231</v>
      </c>
      <c r="G131" t="s">
        <v>142</v>
      </c>
      <c r="H131">
        <v>149.459999999991</v>
      </c>
      <c r="I131">
        <v>28</v>
      </c>
      <c r="J131" t="s">
        <v>15</v>
      </c>
      <c r="K131">
        <v>211.57</v>
      </c>
      <c r="L131">
        <v>211.45</v>
      </c>
      <c r="M131">
        <v>212.54</v>
      </c>
      <c r="N131">
        <v>209.86</v>
      </c>
      <c r="O131" s="1">
        <f t="shared" si="4"/>
        <v>-5.6718816467360433E-4</v>
      </c>
      <c r="P131" s="1">
        <f t="shared" si="5"/>
        <v>5.1548829510523753E-3</v>
      </c>
      <c r="Q131" t="str">
        <f t="shared" si="6"/>
        <v>IDLE</v>
      </c>
      <c r="R131">
        <f t="shared" si="7"/>
        <v>0</v>
      </c>
    </row>
    <row r="132" spans="1:18" x14ac:dyDescent="0.2">
      <c r="A132" t="s">
        <v>14</v>
      </c>
      <c r="B132">
        <v>20231109</v>
      </c>
      <c r="C132">
        <v>100575.37</v>
      </c>
      <c r="D132">
        <v>100535.47</v>
      </c>
      <c r="E132">
        <v>1235</v>
      </c>
      <c r="F132">
        <v>1243</v>
      </c>
      <c r="G132" t="s">
        <v>143</v>
      </c>
      <c r="H132">
        <v>-39.899999999994101</v>
      </c>
      <c r="I132">
        <v>8</v>
      </c>
      <c r="J132" t="s">
        <v>15</v>
      </c>
      <c r="K132">
        <v>209.08</v>
      </c>
      <c r="L132">
        <v>209.1</v>
      </c>
      <c r="M132">
        <v>210.18</v>
      </c>
      <c r="N132">
        <v>209.52</v>
      </c>
      <c r="O132" s="1">
        <f t="shared" ref="O132:O195" si="8">(L132/K132)-1</f>
        <v>9.5657164721485444E-5</v>
      </c>
      <c r="P132" s="1">
        <f t="shared" ref="P132:P195" si="9">(M132/L132)-1</f>
        <v>5.1649928263988176E-3</v>
      </c>
      <c r="Q132" t="str">
        <f t="shared" ref="Q132:Q195" si="10">IF(J132="SELL",IF(O132&gt;=$O$1,"SELL","IDLE"),IF(P132&gt;=$P$1,"BUY","IDLE"))</f>
        <v>IDLE</v>
      </c>
      <c r="R132">
        <f t="shared" ref="R132:R195" si="11">IF(Q132&lt;&gt;"IDLE",H132,0)</f>
        <v>0</v>
      </c>
    </row>
    <row r="133" spans="1:18" x14ac:dyDescent="0.2">
      <c r="A133" t="s">
        <v>14</v>
      </c>
      <c r="B133">
        <v>20231109</v>
      </c>
      <c r="C133">
        <v>100535.47</v>
      </c>
      <c r="D133">
        <v>100468.97</v>
      </c>
      <c r="E133">
        <v>1247</v>
      </c>
      <c r="F133">
        <v>1248</v>
      </c>
      <c r="G133" t="s">
        <v>144</v>
      </c>
      <c r="H133">
        <v>-66.5</v>
      </c>
      <c r="I133">
        <v>1</v>
      </c>
      <c r="J133" t="s">
        <v>15</v>
      </c>
      <c r="K133">
        <v>209.25</v>
      </c>
      <c r="L133">
        <v>209.35</v>
      </c>
      <c r="M133">
        <v>209.56</v>
      </c>
      <c r="N133">
        <v>210.05</v>
      </c>
      <c r="O133" s="1">
        <f t="shared" si="8"/>
        <v>4.7789725209068656E-4</v>
      </c>
      <c r="P133" s="1">
        <f t="shared" si="9"/>
        <v>1.0031048483400973E-3</v>
      </c>
      <c r="Q133" t="str">
        <f t="shared" si="10"/>
        <v>SELL</v>
      </c>
      <c r="R133">
        <f t="shared" si="11"/>
        <v>-66.5</v>
      </c>
    </row>
    <row r="134" spans="1:18" x14ac:dyDescent="0.2">
      <c r="A134" t="s">
        <v>14</v>
      </c>
      <c r="B134">
        <v>20231109</v>
      </c>
      <c r="C134">
        <v>100468.97</v>
      </c>
      <c r="D134">
        <v>100635.22</v>
      </c>
      <c r="E134">
        <v>1252</v>
      </c>
      <c r="F134">
        <v>1304</v>
      </c>
      <c r="G134" t="s">
        <v>145</v>
      </c>
      <c r="H134">
        <v>166.25</v>
      </c>
      <c r="I134">
        <v>12</v>
      </c>
      <c r="J134" t="s">
        <v>15</v>
      </c>
      <c r="K134">
        <v>209.32</v>
      </c>
      <c r="L134">
        <v>210</v>
      </c>
      <c r="M134">
        <v>210.19</v>
      </c>
      <c r="N134">
        <v>208.25</v>
      </c>
      <c r="O134" s="1">
        <f t="shared" si="8"/>
        <v>3.248614561436991E-3</v>
      </c>
      <c r="P134" s="1">
        <f t="shared" si="9"/>
        <v>9.0476190476196372E-4</v>
      </c>
      <c r="Q134" t="str">
        <f t="shared" si="10"/>
        <v>SELL</v>
      </c>
      <c r="R134">
        <f t="shared" si="11"/>
        <v>166.25</v>
      </c>
    </row>
    <row r="135" spans="1:18" x14ac:dyDescent="0.2">
      <c r="A135" t="s">
        <v>14</v>
      </c>
      <c r="B135">
        <v>20231109</v>
      </c>
      <c r="C135">
        <v>100635.22</v>
      </c>
      <c r="D135">
        <v>100607.38</v>
      </c>
      <c r="E135">
        <v>1308</v>
      </c>
      <c r="F135">
        <v>1309</v>
      </c>
      <c r="G135" t="s">
        <v>146</v>
      </c>
      <c r="H135">
        <v>-27.8399999999965</v>
      </c>
      <c r="I135">
        <v>1</v>
      </c>
      <c r="J135" t="s">
        <v>15</v>
      </c>
      <c r="K135">
        <v>206.8</v>
      </c>
      <c r="L135">
        <v>207.16</v>
      </c>
      <c r="M135">
        <v>209.64</v>
      </c>
      <c r="N135">
        <v>207.45</v>
      </c>
      <c r="O135" s="1">
        <f t="shared" si="8"/>
        <v>1.7408123791102792E-3</v>
      </c>
      <c r="P135" s="1">
        <f t="shared" si="9"/>
        <v>1.1971423054643715E-2</v>
      </c>
      <c r="Q135" t="str">
        <f t="shared" si="10"/>
        <v>SELL</v>
      </c>
      <c r="R135">
        <f t="shared" si="11"/>
        <v>-27.8399999999965</v>
      </c>
    </row>
    <row r="136" spans="1:18" x14ac:dyDescent="0.2">
      <c r="A136" t="s">
        <v>14</v>
      </c>
      <c r="B136">
        <v>20231109</v>
      </c>
      <c r="C136">
        <v>100607.38</v>
      </c>
      <c r="D136">
        <v>100541.14</v>
      </c>
      <c r="E136">
        <v>1313</v>
      </c>
      <c r="F136">
        <v>1314</v>
      </c>
      <c r="G136" t="s">
        <v>147</v>
      </c>
      <c r="H136">
        <v>-66.240000000005196</v>
      </c>
      <c r="I136">
        <v>1</v>
      </c>
      <c r="J136" t="s">
        <v>15</v>
      </c>
      <c r="K136">
        <v>207.11</v>
      </c>
      <c r="L136">
        <v>208.08</v>
      </c>
      <c r="M136">
        <v>208.25</v>
      </c>
      <c r="N136">
        <v>208.77</v>
      </c>
      <c r="O136" s="1">
        <f t="shared" si="8"/>
        <v>4.6835015209309994E-3</v>
      </c>
      <c r="P136" s="1">
        <f t="shared" si="9"/>
        <v>8.1699346405228468E-4</v>
      </c>
      <c r="Q136" t="str">
        <f t="shared" si="10"/>
        <v>SELL</v>
      </c>
      <c r="R136">
        <f t="shared" si="11"/>
        <v>-66.240000000005196</v>
      </c>
    </row>
    <row r="137" spans="1:18" x14ac:dyDescent="0.2">
      <c r="A137" t="s">
        <v>14</v>
      </c>
      <c r="B137">
        <v>20231109</v>
      </c>
      <c r="C137">
        <v>100541.14</v>
      </c>
      <c r="D137">
        <v>100523.86</v>
      </c>
      <c r="E137">
        <v>1408</v>
      </c>
      <c r="F137">
        <v>1421</v>
      </c>
      <c r="G137" t="s">
        <v>148</v>
      </c>
      <c r="H137">
        <v>-17.2799999999988</v>
      </c>
      <c r="I137">
        <v>13</v>
      </c>
      <c r="J137" t="s">
        <v>15</v>
      </c>
      <c r="K137">
        <v>207.43</v>
      </c>
      <c r="L137">
        <v>208.29</v>
      </c>
      <c r="M137">
        <v>208.61</v>
      </c>
      <c r="N137">
        <v>208.47</v>
      </c>
      <c r="O137" s="1">
        <f t="shared" si="8"/>
        <v>4.1459769560814319E-3</v>
      </c>
      <c r="P137" s="1">
        <f t="shared" si="9"/>
        <v>1.5363195544675357E-3</v>
      </c>
      <c r="Q137" t="str">
        <f t="shared" si="10"/>
        <v>SELL</v>
      </c>
      <c r="R137">
        <f t="shared" si="11"/>
        <v>-17.2799999999988</v>
      </c>
    </row>
    <row r="138" spans="1:18" x14ac:dyDescent="0.2">
      <c r="A138" t="s">
        <v>14</v>
      </c>
      <c r="B138">
        <v>20231109</v>
      </c>
      <c r="C138">
        <v>100523.86</v>
      </c>
      <c r="D138">
        <v>100512.34</v>
      </c>
      <c r="E138">
        <v>1437</v>
      </c>
      <c r="F138">
        <v>1445</v>
      </c>
      <c r="G138" t="s">
        <v>149</v>
      </c>
      <c r="H138">
        <v>-11.520000000004</v>
      </c>
      <c r="I138">
        <v>8</v>
      </c>
      <c r="J138" t="s">
        <v>15</v>
      </c>
      <c r="K138">
        <v>208.18</v>
      </c>
      <c r="L138">
        <v>208.03</v>
      </c>
      <c r="M138">
        <v>209.48</v>
      </c>
      <c r="N138">
        <v>208.15</v>
      </c>
      <c r="O138" s="1">
        <f t="shared" si="8"/>
        <v>-7.205303103083871E-4</v>
      </c>
      <c r="P138" s="1">
        <f t="shared" si="9"/>
        <v>6.970148536268761E-3</v>
      </c>
      <c r="Q138" t="str">
        <f t="shared" si="10"/>
        <v>IDLE</v>
      </c>
      <c r="R138">
        <f t="shared" si="11"/>
        <v>0</v>
      </c>
    </row>
    <row r="139" spans="1:18" x14ac:dyDescent="0.2">
      <c r="A139" t="s">
        <v>14</v>
      </c>
      <c r="B139">
        <v>20231109</v>
      </c>
      <c r="C139">
        <v>100512.34</v>
      </c>
      <c r="D139">
        <v>100606.39</v>
      </c>
      <c r="E139">
        <v>1449</v>
      </c>
      <c r="F139">
        <v>1501</v>
      </c>
      <c r="G139" t="s">
        <v>150</v>
      </c>
      <c r="H139">
        <v>94.050000000002896</v>
      </c>
      <c r="I139">
        <v>12</v>
      </c>
      <c r="J139" t="s">
        <v>15</v>
      </c>
      <c r="K139">
        <v>207.62</v>
      </c>
      <c r="L139">
        <v>208.55</v>
      </c>
      <c r="M139">
        <v>208.43</v>
      </c>
      <c r="N139">
        <v>207.56</v>
      </c>
      <c r="O139" s="1">
        <f t="shared" si="8"/>
        <v>4.4793372507465623E-3</v>
      </c>
      <c r="P139" s="1">
        <f t="shared" si="9"/>
        <v>-5.7540158235436234E-4</v>
      </c>
      <c r="Q139" t="str">
        <f t="shared" si="10"/>
        <v>SELL</v>
      </c>
      <c r="R139">
        <f t="shared" si="11"/>
        <v>94.050000000002896</v>
      </c>
    </row>
    <row r="140" spans="1:18" x14ac:dyDescent="0.2">
      <c r="A140" t="s">
        <v>14</v>
      </c>
      <c r="B140">
        <v>20231109</v>
      </c>
      <c r="C140">
        <v>100606.39</v>
      </c>
      <c r="D140">
        <v>100581.43</v>
      </c>
      <c r="E140">
        <v>1505</v>
      </c>
      <c r="F140">
        <v>1508</v>
      </c>
      <c r="G140" t="s">
        <v>151</v>
      </c>
      <c r="H140">
        <v>-24.960000000006399</v>
      </c>
      <c r="I140">
        <v>3</v>
      </c>
      <c r="J140" t="s">
        <v>15</v>
      </c>
      <c r="K140">
        <v>207.13</v>
      </c>
      <c r="L140">
        <v>207.84</v>
      </c>
      <c r="M140">
        <v>208.11</v>
      </c>
      <c r="N140">
        <v>208.1</v>
      </c>
      <c r="O140" s="1">
        <f t="shared" si="8"/>
        <v>3.4277989668325404E-3</v>
      </c>
      <c r="P140" s="1">
        <f t="shared" si="9"/>
        <v>1.2990762124711619E-3</v>
      </c>
      <c r="Q140" t="str">
        <f t="shared" si="10"/>
        <v>SELL</v>
      </c>
      <c r="R140">
        <f t="shared" si="11"/>
        <v>-24.960000000006399</v>
      </c>
    </row>
    <row r="141" spans="1:18" x14ac:dyDescent="0.2">
      <c r="A141" t="s">
        <v>14</v>
      </c>
      <c r="B141">
        <v>20231110</v>
      </c>
      <c r="C141">
        <v>100581.43</v>
      </c>
      <c r="D141">
        <v>100523.77</v>
      </c>
      <c r="E141">
        <v>949</v>
      </c>
      <c r="F141">
        <v>950</v>
      </c>
      <c r="G141" t="s">
        <v>152</v>
      </c>
      <c r="H141">
        <v>-57.659999999988898</v>
      </c>
      <c r="I141">
        <v>1</v>
      </c>
      <c r="J141" t="s">
        <v>16</v>
      </c>
      <c r="K141">
        <v>211.88</v>
      </c>
      <c r="L141">
        <v>213.43</v>
      </c>
      <c r="M141">
        <v>213.51</v>
      </c>
      <c r="N141">
        <v>212.81</v>
      </c>
      <c r="O141" s="1">
        <f t="shared" si="8"/>
        <v>7.3154615820276714E-3</v>
      </c>
      <c r="P141" s="1">
        <f t="shared" si="9"/>
        <v>3.7483015508588124E-4</v>
      </c>
      <c r="Q141" t="str">
        <f t="shared" si="10"/>
        <v>IDLE</v>
      </c>
      <c r="R141">
        <f t="shared" si="11"/>
        <v>0</v>
      </c>
    </row>
    <row r="142" spans="1:18" x14ac:dyDescent="0.2">
      <c r="A142" t="s">
        <v>14</v>
      </c>
      <c r="B142">
        <v>20231110</v>
      </c>
      <c r="C142">
        <v>100523.77</v>
      </c>
      <c r="D142">
        <v>100491.81</v>
      </c>
      <c r="E142">
        <v>954</v>
      </c>
      <c r="F142">
        <v>955</v>
      </c>
      <c r="G142" t="s">
        <v>153</v>
      </c>
      <c r="H142">
        <v>-31.960000000006399</v>
      </c>
      <c r="I142">
        <v>1</v>
      </c>
      <c r="J142" t="s">
        <v>16</v>
      </c>
      <c r="K142">
        <v>212.55</v>
      </c>
      <c r="L142">
        <v>212.6</v>
      </c>
      <c r="M142">
        <v>213.39</v>
      </c>
      <c r="N142">
        <v>212.26</v>
      </c>
      <c r="O142" s="1">
        <f t="shared" si="8"/>
        <v>2.3523876734876659E-4</v>
      </c>
      <c r="P142" s="1">
        <f t="shared" si="9"/>
        <v>3.715898400752593E-3</v>
      </c>
      <c r="Q142" t="str">
        <f t="shared" si="10"/>
        <v>IDLE</v>
      </c>
      <c r="R142">
        <f t="shared" si="11"/>
        <v>0</v>
      </c>
    </row>
    <row r="143" spans="1:18" x14ac:dyDescent="0.2">
      <c r="A143" t="s">
        <v>14</v>
      </c>
      <c r="B143">
        <v>20231110</v>
      </c>
      <c r="C143">
        <v>100491.81</v>
      </c>
      <c r="D143">
        <v>100466.43</v>
      </c>
      <c r="E143">
        <v>959</v>
      </c>
      <c r="F143">
        <v>1000</v>
      </c>
      <c r="G143" t="s">
        <v>154</v>
      </c>
      <c r="H143">
        <v>-25.3800000000046</v>
      </c>
      <c r="I143">
        <v>1</v>
      </c>
      <c r="J143" t="s">
        <v>16</v>
      </c>
      <c r="K143">
        <v>212.08</v>
      </c>
      <c r="L143">
        <v>212.27</v>
      </c>
      <c r="M143">
        <v>213</v>
      </c>
      <c r="N143">
        <v>212</v>
      </c>
      <c r="O143" s="1">
        <f t="shared" si="8"/>
        <v>8.9588834402110074E-4</v>
      </c>
      <c r="P143" s="1">
        <f t="shared" si="9"/>
        <v>3.4390163471049728E-3</v>
      </c>
      <c r="Q143" t="str">
        <f t="shared" si="10"/>
        <v>IDLE</v>
      </c>
      <c r="R143">
        <f t="shared" si="11"/>
        <v>0</v>
      </c>
    </row>
    <row r="144" spans="1:18" x14ac:dyDescent="0.2">
      <c r="A144" t="s">
        <v>14</v>
      </c>
      <c r="B144">
        <v>20231110</v>
      </c>
      <c r="C144">
        <v>100466.43</v>
      </c>
      <c r="D144">
        <v>100426.11</v>
      </c>
      <c r="E144">
        <v>1033</v>
      </c>
      <c r="F144">
        <v>1035</v>
      </c>
      <c r="G144" t="s">
        <v>155</v>
      </c>
      <c r="H144">
        <v>-40.319999999992397</v>
      </c>
      <c r="I144">
        <v>2</v>
      </c>
      <c r="J144" t="s">
        <v>15</v>
      </c>
      <c r="K144">
        <v>206.68</v>
      </c>
      <c r="L144">
        <v>207.01</v>
      </c>
      <c r="M144">
        <v>207.59</v>
      </c>
      <c r="N144">
        <v>207.43</v>
      </c>
      <c r="O144" s="1">
        <f t="shared" si="8"/>
        <v>1.5966711825041724E-3</v>
      </c>
      <c r="P144" s="1">
        <f t="shared" si="9"/>
        <v>2.8017970146370086E-3</v>
      </c>
      <c r="Q144" t="str">
        <f t="shared" si="10"/>
        <v>SELL</v>
      </c>
      <c r="R144">
        <f t="shared" si="11"/>
        <v>-40.319999999992397</v>
      </c>
    </row>
    <row r="145" spans="1:18" x14ac:dyDescent="0.2">
      <c r="A145" t="s">
        <v>14</v>
      </c>
      <c r="B145">
        <v>20231110</v>
      </c>
      <c r="C145">
        <v>100426.11</v>
      </c>
      <c r="D145">
        <v>100381.95</v>
      </c>
      <c r="E145">
        <v>1039</v>
      </c>
      <c r="F145">
        <v>1045</v>
      </c>
      <c r="G145" t="s">
        <v>156</v>
      </c>
      <c r="H145">
        <v>-44.1600000000034</v>
      </c>
      <c r="I145">
        <v>6</v>
      </c>
      <c r="J145" t="s">
        <v>15</v>
      </c>
      <c r="K145">
        <v>206.92</v>
      </c>
      <c r="L145">
        <v>207.27</v>
      </c>
      <c r="M145">
        <v>207.71</v>
      </c>
      <c r="N145">
        <v>207.73</v>
      </c>
      <c r="O145" s="1">
        <f t="shared" si="8"/>
        <v>1.6914749661705031E-3</v>
      </c>
      <c r="P145" s="1">
        <f t="shared" si="9"/>
        <v>2.1228349495827636E-3</v>
      </c>
      <c r="Q145" t="str">
        <f t="shared" si="10"/>
        <v>SELL</v>
      </c>
      <c r="R145">
        <f t="shared" si="11"/>
        <v>-44.1600000000034</v>
      </c>
    </row>
    <row r="146" spans="1:18" x14ac:dyDescent="0.2">
      <c r="A146" t="s">
        <v>14</v>
      </c>
      <c r="B146">
        <v>20231110</v>
      </c>
      <c r="C146">
        <v>100381.95</v>
      </c>
      <c r="D146">
        <v>100428.95</v>
      </c>
      <c r="E146">
        <v>1204</v>
      </c>
      <c r="F146">
        <v>1217</v>
      </c>
      <c r="G146" t="s">
        <v>157</v>
      </c>
      <c r="H146">
        <v>47</v>
      </c>
      <c r="I146">
        <v>13</v>
      </c>
      <c r="J146" t="s">
        <v>16</v>
      </c>
      <c r="K146">
        <v>211.64</v>
      </c>
      <c r="L146">
        <v>211.87</v>
      </c>
      <c r="M146">
        <v>212.49</v>
      </c>
      <c r="N146">
        <v>212.37</v>
      </c>
      <c r="O146" s="1">
        <f t="shared" si="8"/>
        <v>1.0867510867511587E-3</v>
      </c>
      <c r="P146" s="1">
        <f t="shared" si="9"/>
        <v>2.9263227450795348E-3</v>
      </c>
      <c r="Q146" t="str">
        <f t="shared" si="10"/>
        <v>IDLE</v>
      </c>
      <c r="R146">
        <f t="shared" si="11"/>
        <v>0</v>
      </c>
    </row>
    <row r="147" spans="1:18" x14ac:dyDescent="0.2">
      <c r="A147" t="s">
        <v>14</v>
      </c>
      <c r="B147">
        <v>20231110</v>
      </c>
      <c r="C147">
        <v>100428.95</v>
      </c>
      <c r="D147">
        <v>100458.09</v>
      </c>
      <c r="E147">
        <v>1221</v>
      </c>
      <c r="F147">
        <v>1240</v>
      </c>
      <c r="G147" t="s">
        <v>158</v>
      </c>
      <c r="H147">
        <v>29.1399999999994</v>
      </c>
      <c r="I147">
        <v>19</v>
      </c>
      <c r="J147" t="s">
        <v>16</v>
      </c>
      <c r="K147">
        <v>212.14</v>
      </c>
      <c r="L147">
        <v>212.36</v>
      </c>
      <c r="M147">
        <v>212.77</v>
      </c>
      <c r="N147">
        <v>212.67</v>
      </c>
      <c r="O147" s="1">
        <f t="shared" si="8"/>
        <v>1.0370510040540459E-3</v>
      </c>
      <c r="P147" s="1">
        <f t="shared" si="9"/>
        <v>1.9306837445847158E-3</v>
      </c>
      <c r="Q147" t="str">
        <f t="shared" si="10"/>
        <v>IDLE</v>
      </c>
      <c r="R147">
        <f t="shared" si="11"/>
        <v>0</v>
      </c>
    </row>
    <row r="148" spans="1:18" x14ac:dyDescent="0.2">
      <c r="A148" t="s">
        <v>14</v>
      </c>
      <c r="B148">
        <v>20231110</v>
      </c>
      <c r="C148">
        <v>100458.09</v>
      </c>
      <c r="D148">
        <v>100444.93</v>
      </c>
      <c r="E148">
        <v>1244</v>
      </c>
      <c r="F148">
        <v>1246</v>
      </c>
      <c r="G148" t="s">
        <v>159</v>
      </c>
      <c r="H148">
        <v>-13.1600000000034</v>
      </c>
      <c r="I148">
        <v>2</v>
      </c>
      <c r="J148" t="s">
        <v>16</v>
      </c>
      <c r="K148">
        <v>212.47</v>
      </c>
      <c r="L148">
        <v>212.39</v>
      </c>
      <c r="M148">
        <v>213.17</v>
      </c>
      <c r="N148">
        <v>212.25</v>
      </c>
      <c r="O148" s="1">
        <f t="shared" si="8"/>
        <v>-3.7652374452867843E-4</v>
      </c>
      <c r="P148" s="1">
        <f t="shared" si="9"/>
        <v>3.6724892885728888E-3</v>
      </c>
      <c r="Q148" t="str">
        <f t="shared" si="10"/>
        <v>IDLE</v>
      </c>
      <c r="R148">
        <f t="shared" si="11"/>
        <v>0</v>
      </c>
    </row>
    <row r="149" spans="1:18" x14ac:dyDescent="0.2">
      <c r="A149" t="s">
        <v>14</v>
      </c>
      <c r="B149">
        <v>20231110</v>
      </c>
      <c r="C149">
        <v>100444.93</v>
      </c>
      <c r="D149">
        <v>100426.13</v>
      </c>
      <c r="E149">
        <v>1250</v>
      </c>
      <c r="F149">
        <v>1251</v>
      </c>
      <c r="G149" t="s">
        <v>160</v>
      </c>
      <c r="H149">
        <v>-18.799999999988302</v>
      </c>
      <c r="I149">
        <v>1</v>
      </c>
      <c r="J149" t="s">
        <v>16</v>
      </c>
      <c r="K149">
        <v>212.28</v>
      </c>
      <c r="L149">
        <v>212.38</v>
      </c>
      <c r="M149">
        <v>212.76</v>
      </c>
      <c r="N149">
        <v>212.18</v>
      </c>
      <c r="O149" s="1">
        <f t="shared" si="8"/>
        <v>4.710759374411122E-4</v>
      </c>
      <c r="P149" s="1">
        <f t="shared" si="9"/>
        <v>1.7892456916845934E-3</v>
      </c>
      <c r="Q149" t="str">
        <f t="shared" si="10"/>
        <v>IDLE</v>
      </c>
      <c r="R149">
        <f t="shared" si="11"/>
        <v>0</v>
      </c>
    </row>
    <row r="150" spans="1:18" x14ac:dyDescent="0.2">
      <c r="A150" t="s">
        <v>14</v>
      </c>
      <c r="B150">
        <v>20231110</v>
      </c>
      <c r="C150">
        <v>100426.13</v>
      </c>
      <c r="D150">
        <v>100416.73</v>
      </c>
      <c r="E150">
        <v>1255</v>
      </c>
      <c r="F150">
        <v>1256</v>
      </c>
      <c r="G150" t="s">
        <v>161</v>
      </c>
      <c r="H150">
        <v>-9.4000000000087294</v>
      </c>
      <c r="I150">
        <v>1</v>
      </c>
      <c r="J150" t="s">
        <v>16</v>
      </c>
      <c r="K150">
        <v>212.18</v>
      </c>
      <c r="L150">
        <v>212.55</v>
      </c>
      <c r="M150">
        <v>212.8</v>
      </c>
      <c r="N150">
        <v>212.45</v>
      </c>
      <c r="O150" s="1">
        <f t="shared" si="8"/>
        <v>1.7438024318974232E-3</v>
      </c>
      <c r="P150" s="1">
        <f t="shared" si="9"/>
        <v>1.176193836744277E-3</v>
      </c>
      <c r="Q150" t="str">
        <f t="shared" si="10"/>
        <v>IDLE</v>
      </c>
      <c r="R150">
        <f t="shared" si="11"/>
        <v>0</v>
      </c>
    </row>
    <row r="151" spans="1:18" x14ac:dyDescent="0.2">
      <c r="A151" t="s">
        <v>14</v>
      </c>
      <c r="B151">
        <v>20231110</v>
      </c>
      <c r="C151">
        <v>100416.73</v>
      </c>
      <c r="D151">
        <v>100413.91</v>
      </c>
      <c r="E151">
        <v>1300</v>
      </c>
      <c r="F151">
        <v>1303</v>
      </c>
      <c r="G151" t="s">
        <v>162</v>
      </c>
      <c r="H151">
        <v>-2.8199999999924299</v>
      </c>
      <c r="I151">
        <v>3</v>
      </c>
      <c r="J151" t="s">
        <v>16</v>
      </c>
      <c r="K151">
        <v>212.3</v>
      </c>
      <c r="L151">
        <v>212.61</v>
      </c>
      <c r="M151">
        <v>212.85</v>
      </c>
      <c r="N151">
        <v>212.58</v>
      </c>
      <c r="O151" s="1">
        <f t="shared" si="8"/>
        <v>1.4601978332549059E-3</v>
      </c>
      <c r="P151" s="1">
        <f t="shared" si="9"/>
        <v>1.1288274305065737E-3</v>
      </c>
      <c r="Q151" t="str">
        <f t="shared" si="10"/>
        <v>IDLE</v>
      </c>
      <c r="R151">
        <f t="shared" si="11"/>
        <v>0</v>
      </c>
    </row>
    <row r="152" spans="1:18" x14ac:dyDescent="0.2">
      <c r="A152" t="s">
        <v>14</v>
      </c>
      <c r="B152">
        <v>20231110</v>
      </c>
      <c r="C152">
        <v>100413.91</v>
      </c>
      <c r="D152">
        <v>100362.76</v>
      </c>
      <c r="E152">
        <v>1307</v>
      </c>
      <c r="F152">
        <v>1310</v>
      </c>
      <c r="G152" t="s">
        <v>163</v>
      </c>
      <c r="H152">
        <v>-51.150000000008703</v>
      </c>
      <c r="I152">
        <v>3</v>
      </c>
      <c r="J152" t="s">
        <v>16</v>
      </c>
      <c r="K152">
        <v>212.49</v>
      </c>
      <c r="L152">
        <v>213.12</v>
      </c>
      <c r="M152">
        <v>212.96</v>
      </c>
      <c r="N152">
        <v>212.57</v>
      </c>
      <c r="O152" s="1">
        <f t="shared" si="8"/>
        <v>2.9648454044894912E-3</v>
      </c>
      <c r="P152" s="1">
        <f t="shared" si="9"/>
        <v>-7.5075075075070608E-4</v>
      </c>
      <c r="Q152" t="str">
        <f t="shared" si="10"/>
        <v>IDLE</v>
      </c>
      <c r="R152">
        <f t="shared" si="11"/>
        <v>0</v>
      </c>
    </row>
    <row r="153" spans="1:18" x14ac:dyDescent="0.2">
      <c r="A153" t="s">
        <v>14</v>
      </c>
      <c r="B153">
        <v>20231110</v>
      </c>
      <c r="C153">
        <v>100362.76</v>
      </c>
      <c r="D153">
        <v>100349.6</v>
      </c>
      <c r="E153">
        <v>1314</v>
      </c>
      <c r="F153">
        <v>1315</v>
      </c>
      <c r="G153" t="s">
        <v>164</v>
      </c>
      <c r="H153">
        <v>-13.1599999999889</v>
      </c>
      <c r="I153">
        <v>1</v>
      </c>
      <c r="J153" t="s">
        <v>16</v>
      </c>
      <c r="K153">
        <v>212.41</v>
      </c>
      <c r="L153">
        <v>212.5</v>
      </c>
      <c r="M153">
        <v>212.95</v>
      </c>
      <c r="N153">
        <v>212.36</v>
      </c>
      <c r="O153" s="1">
        <f t="shared" si="8"/>
        <v>4.2370886493103832E-4</v>
      </c>
      <c r="P153" s="1">
        <f t="shared" si="9"/>
        <v>2.1176470588235574E-3</v>
      </c>
      <c r="Q153" t="str">
        <f t="shared" si="10"/>
        <v>IDLE</v>
      </c>
      <c r="R153">
        <f t="shared" si="11"/>
        <v>0</v>
      </c>
    </row>
    <row r="154" spans="1:18" x14ac:dyDescent="0.2">
      <c r="A154" t="s">
        <v>14</v>
      </c>
      <c r="B154">
        <v>20231110</v>
      </c>
      <c r="C154">
        <v>100349.6</v>
      </c>
      <c r="D154">
        <v>100532.9</v>
      </c>
      <c r="E154">
        <v>1319</v>
      </c>
      <c r="F154">
        <v>1352</v>
      </c>
      <c r="G154" t="s">
        <v>165</v>
      </c>
      <c r="H154">
        <v>183.29999999998799</v>
      </c>
      <c r="I154">
        <v>33</v>
      </c>
      <c r="J154" t="s">
        <v>16</v>
      </c>
      <c r="K154">
        <v>212.14</v>
      </c>
      <c r="L154">
        <v>212.38</v>
      </c>
      <c r="M154">
        <v>212.64</v>
      </c>
      <c r="N154">
        <v>214.33</v>
      </c>
      <c r="O154" s="1">
        <f t="shared" si="8"/>
        <v>1.1313283680589592E-3</v>
      </c>
      <c r="P154" s="1">
        <f t="shared" si="9"/>
        <v>1.2242207364159263E-3</v>
      </c>
      <c r="Q154" t="str">
        <f t="shared" si="10"/>
        <v>IDLE</v>
      </c>
      <c r="R154">
        <f t="shared" si="11"/>
        <v>0</v>
      </c>
    </row>
    <row r="155" spans="1:18" x14ac:dyDescent="0.2">
      <c r="A155" t="s">
        <v>14</v>
      </c>
      <c r="B155">
        <v>20231110</v>
      </c>
      <c r="C155">
        <v>100532.9</v>
      </c>
      <c r="D155">
        <v>100495.7</v>
      </c>
      <c r="E155">
        <v>1356</v>
      </c>
      <c r="F155">
        <v>1402</v>
      </c>
      <c r="G155" t="s">
        <v>166</v>
      </c>
      <c r="H155">
        <v>-37.199999999996997</v>
      </c>
      <c r="I155">
        <v>6</v>
      </c>
      <c r="J155" t="s">
        <v>16</v>
      </c>
      <c r="K155">
        <v>214.19</v>
      </c>
      <c r="L155">
        <v>214.76</v>
      </c>
      <c r="M155">
        <v>214.99</v>
      </c>
      <c r="N155">
        <v>214.36</v>
      </c>
      <c r="O155" s="1">
        <f t="shared" si="8"/>
        <v>2.6611886642700089E-3</v>
      </c>
      <c r="P155" s="1">
        <f t="shared" si="9"/>
        <v>1.0709629353697903E-3</v>
      </c>
      <c r="Q155" t="str">
        <f t="shared" si="10"/>
        <v>IDLE</v>
      </c>
      <c r="R155">
        <f t="shared" si="11"/>
        <v>0</v>
      </c>
    </row>
    <row r="156" spans="1:18" x14ac:dyDescent="0.2">
      <c r="A156" t="s">
        <v>14</v>
      </c>
      <c r="B156">
        <v>20231110</v>
      </c>
      <c r="C156">
        <v>100495.7</v>
      </c>
      <c r="D156">
        <v>100466.26</v>
      </c>
      <c r="E156">
        <v>1421</v>
      </c>
      <c r="F156">
        <v>1424</v>
      </c>
      <c r="G156" t="s">
        <v>167</v>
      </c>
      <c r="H156">
        <v>-29.4400000000023</v>
      </c>
      <c r="I156">
        <v>3</v>
      </c>
      <c r="J156" t="s">
        <v>16</v>
      </c>
      <c r="K156">
        <v>214.5</v>
      </c>
      <c r="L156">
        <v>215.11</v>
      </c>
      <c r="M156">
        <v>215.05</v>
      </c>
      <c r="N156">
        <v>214.79</v>
      </c>
      <c r="O156" s="1">
        <f t="shared" si="8"/>
        <v>2.8438228438230073E-3</v>
      </c>
      <c r="P156" s="1">
        <f t="shared" si="9"/>
        <v>-2.7892706057364158E-4</v>
      </c>
      <c r="Q156" t="str">
        <f t="shared" si="10"/>
        <v>IDLE</v>
      </c>
      <c r="R156">
        <f t="shared" si="11"/>
        <v>0</v>
      </c>
    </row>
    <row r="157" spans="1:18" x14ac:dyDescent="0.2">
      <c r="A157" t="s">
        <v>14</v>
      </c>
      <c r="B157">
        <v>20231110</v>
      </c>
      <c r="C157">
        <v>100466.26</v>
      </c>
      <c r="D157">
        <v>100436.5</v>
      </c>
      <c r="E157">
        <v>1428</v>
      </c>
      <c r="F157">
        <v>1430</v>
      </c>
      <c r="G157" t="s">
        <v>168</v>
      </c>
      <c r="H157">
        <v>-29.759999999994701</v>
      </c>
      <c r="I157">
        <v>2</v>
      </c>
      <c r="J157" t="s">
        <v>16</v>
      </c>
      <c r="K157">
        <v>214.7</v>
      </c>
      <c r="L157">
        <v>214.99</v>
      </c>
      <c r="M157">
        <v>215.12</v>
      </c>
      <c r="N157">
        <v>214.67</v>
      </c>
      <c r="O157" s="1">
        <f t="shared" si="8"/>
        <v>1.3507219375874513E-3</v>
      </c>
      <c r="P157" s="1">
        <f t="shared" si="9"/>
        <v>6.0467928740859378E-4</v>
      </c>
      <c r="Q157" t="str">
        <f t="shared" si="10"/>
        <v>IDLE</v>
      </c>
      <c r="R157">
        <f t="shared" si="11"/>
        <v>0</v>
      </c>
    </row>
    <row r="158" spans="1:18" x14ac:dyDescent="0.2">
      <c r="A158" t="s">
        <v>14</v>
      </c>
      <c r="B158">
        <v>20231110</v>
      </c>
      <c r="C158">
        <v>100436.5</v>
      </c>
      <c r="D158">
        <v>100430.92</v>
      </c>
      <c r="E158">
        <v>1443</v>
      </c>
      <c r="F158">
        <v>1453</v>
      </c>
      <c r="G158" t="s">
        <v>169</v>
      </c>
      <c r="H158">
        <v>-5.58000000000174</v>
      </c>
      <c r="I158">
        <v>10</v>
      </c>
      <c r="J158" t="s">
        <v>16</v>
      </c>
      <c r="K158">
        <v>214.36</v>
      </c>
      <c r="L158">
        <v>214.83</v>
      </c>
      <c r="M158">
        <v>215.08</v>
      </c>
      <c r="N158">
        <v>214.77</v>
      </c>
      <c r="O158" s="1">
        <f t="shared" si="8"/>
        <v>2.1925732412764187E-3</v>
      </c>
      <c r="P158" s="1">
        <f t="shared" si="9"/>
        <v>1.1637108411302055E-3</v>
      </c>
      <c r="Q158" t="str">
        <f t="shared" si="10"/>
        <v>IDLE</v>
      </c>
      <c r="R158">
        <f t="shared" si="11"/>
        <v>0</v>
      </c>
    </row>
    <row r="159" spans="1:18" x14ac:dyDescent="0.2">
      <c r="A159" t="s">
        <v>14</v>
      </c>
      <c r="B159">
        <v>20231110</v>
      </c>
      <c r="C159">
        <v>100430.92</v>
      </c>
      <c r="D159">
        <v>100394.65</v>
      </c>
      <c r="E159">
        <v>1457</v>
      </c>
      <c r="F159">
        <v>1504</v>
      </c>
      <c r="G159" t="s">
        <v>170</v>
      </c>
      <c r="H159">
        <v>-36.270000000004003</v>
      </c>
      <c r="I159">
        <v>7</v>
      </c>
      <c r="J159" t="s">
        <v>16</v>
      </c>
      <c r="K159">
        <v>214.71</v>
      </c>
      <c r="L159">
        <v>214.82</v>
      </c>
      <c r="M159">
        <v>215.17</v>
      </c>
      <c r="N159">
        <v>214.43</v>
      </c>
      <c r="O159" s="1">
        <f t="shared" si="8"/>
        <v>5.1231894182834914E-4</v>
      </c>
      <c r="P159" s="1">
        <f t="shared" si="9"/>
        <v>1.6292710175960234E-3</v>
      </c>
      <c r="Q159" t="str">
        <f t="shared" si="10"/>
        <v>IDLE</v>
      </c>
      <c r="R159">
        <f t="shared" si="11"/>
        <v>0</v>
      </c>
    </row>
    <row r="160" spans="1:18" x14ac:dyDescent="0.2">
      <c r="A160" t="s">
        <v>14</v>
      </c>
      <c r="B160">
        <v>20231113</v>
      </c>
      <c r="C160">
        <v>100394.65</v>
      </c>
      <c r="D160">
        <v>100364.57</v>
      </c>
      <c r="E160">
        <v>946</v>
      </c>
      <c r="F160">
        <v>947</v>
      </c>
      <c r="G160" t="s">
        <v>171</v>
      </c>
      <c r="H160">
        <v>-30.079999999987098</v>
      </c>
      <c r="I160">
        <v>1</v>
      </c>
      <c r="J160" t="s">
        <v>15</v>
      </c>
      <c r="K160">
        <v>211.7</v>
      </c>
      <c r="L160">
        <v>212.69</v>
      </c>
      <c r="M160">
        <v>212.94</v>
      </c>
      <c r="N160">
        <v>213.01</v>
      </c>
      <c r="O160" s="1">
        <f t="shared" si="8"/>
        <v>4.6764289088332411E-3</v>
      </c>
      <c r="P160" s="1">
        <f t="shared" si="9"/>
        <v>1.1754196248061621E-3</v>
      </c>
      <c r="Q160" t="str">
        <f t="shared" si="10"/>
        <v>SELL</v>
      </c>
      <c r="R160">
        <f t="shared" si="11"/>
        <v>-30.079999999987098</v>
      </c>
    </row>
    <row r="161" spans="1:18" x14ac:dyDescent="0.2">
      <c r="A161" t="s">
        <v>14</v>
      </c>
      <c r="B161">
        <v>20231113</v>
      </c>
      <c r="C161">
        <v>100364.57</v>
      </c>
      <c r="D161">
        <v>100404.61</v>
      </c>
      <c r="E161">
        <v>1017</v>
      </c>
      <c r="F161">
        <v>1024</v>
      </c>
      <c r="G161" t="s">
        <v>172</v>
      </c>
      <c r="H161">
        <v>40.039999999993597</v>
      </c>
      <c r="I161">
        <v>7</v>
      </c>
      <c r="J161" t="s">
        <v>16</v>
      </c>
      <c r="K161">
        <v>216.22</v>
      </c>
      <c r="L161">
        <v>218.07</v>
      </c>
      <c r="M161">
        <v>218.62</v>
      </c>
      <c r="N161">
        <v>218.51</v>
      </c>
      <c r="O161" s="1">
        <f t="shared" si="8"/>
        <v>8.5561002682452703E-3</v>
      </c>
      <c r="P161" s="1">
        <f t="shared" si="9"/>
        <v>2.5221259228689341E-3</v>
      </c>
      <c r="Q161" t="str">
        <f t="shared" si="10"/>
        <v>IDLE</v>
      </c>
      <c r="R161">
        <f t="shared" si="11"/>
        <v>0</v>
      </c>
    </row>
    <row r="162" spans="1:18" x14ac:dyDescent="0.2">
      <c r="A162" t="s">
        <v>14</v>
      </c>
      <c r="B162">
        <v>20231113</v>
      </c>
      <c r="C162">
        <v>100404.61</v>
      </c>
      <c r="D162">
        <v>100378.51</v>
      </c>
      <c r="E162">
        <v>1028</v>
      </c>
      <c r="F162">
        <v>1035</v>
      </c>
      <c r="G162" t="s">
        <v>173</v>
      </c>
      <c r="H162">
        <v>-26.100000000005799</v>
      </c>
      <c r="I162">
        <v>7</v>
      </c>
      <c r="J162" t="s">
        <v>16</v>
      </c>
      <c r="K162">
        <v>218.34</v>
      </c>
      <c r="L162">
        <v>220.25</v>
      </c>
      <c r="M162">
        <v>219.82</v>
      </c>
      <c r="N162">
        <v>219.96</v>
      </c>
      <c r="O162" s="1">
        <f t="shared" si="8"/>
        <v>8.7478244939085403E-3</v>
      </c>
      <c r="P162" s="1">
        <f t="shared" si="9"/>
        <v>-1.95232690124858E-3</v>
      </c>
      <c r="Q162" t="str">
        <f t="shared" si="10"/>
        <v>IDLE</v>
      </c>
      <c r="R162">
        <f t="shared" si="11"/>
        <v>0</v>
      </c>
    </row>
    <row r="163" spans="1:18" x14ac:dyDescent="0.2">
      <c r="A163" t="s">
        <v>14</v>
      </c>
      <c r="B163">
        <v>20231113</v>
      </c>
      <c r="C163">
        <v>100378.51</v>
      </c>
      <c r="D163">
        <v>100537.76</v>
      </c>
      <c r="E163">
        <v>1039</v>
      </c>
      <c r="F163">
        <v>1048</v>
      </c>
      <c r="G163" t="s">
        <v>174</v>
      </c>
      <c r="H163">
        <v>159.25</v>
      </c>
      <c r="I163">
        <v>9</v>
      </c>
      <c r="J163" t="s">
        <v>16</v>
      </c>
      <c r="K163">
        <v>219.57</v>
      </c>
      <c r="L163">
        <v>219.59</v>
      </c>
      <c r="M163">
        <v>220.37</v>
      </c>
      <c r="N163">
        <v>221.34</v>
      </c>
      <c r="O163" s="1">
        <f t="shared" si="8"/>
        <v>9.1087124834965394E-5</v>
      </c>
      <c r="P163" s="1">
        <f t="shared" si="9"/>
        <v>3.5520743203243388E-3</v>
      </c>
      <c r="Q163" t="str">
        <f t="shared" si="10"/>
        <v>IDLE</v>
      </c>
      <c r="R163">
        <f t="shared" si="11"/>
        <v>0</v>
      </c>
    </row>
    <row r="164" spans="1:18" x14ac:dyDescent="0.2">
      <c r="A164" t="s">
        <v>14</v>
      </c>
      <c r="B164">
        <v>20231113</v>
      </c>
      <c r="C164">
        <v>100537.76</v>
      </c>
      <c r="D164">
        <v>100508.06</v>
      </c>
      <c r="E164">
        <v>1052</v>
      </c>
      <c r="F164">
        <v>1054</v>
      </c>
      <c r="G164" t="s">
        <v>175</v>
      </c>
      <c r="H164">
        <v>-29.699999999997001</v>
      </c>
      <c r="I164">
        <v>2</v>
      </c>
      <c r="J164" t="s">
        <v>16</v>
      </c>
      <c r="K164">
        <v>220.31</v>
      </c>
      <c r="L164">
        <v>221.6</v>
      </c>
      <c r="M164">
        <v>221.95</v>
      </c>
      <c r="N164">
        <v>221.27</v>
      </c>
      <c r="O164" s="1">
        <f t="shared" si="8"/>
        <v>5.8553855930278953E-3</v>
      </c>
      <c r="P164" s="1">
        <f t="shared" si="9"/>
        <v>1.5794223826715026E-3</v>
      </c>
      <c r="Q164" t="str">
        <f t="shared" si="10"/>
        <v>IDLE</v>
      </c>
      <c r="R164">
        <f t="shared" si="11"/>
        <v>0</v>
      </c>
    </row>
    <row r="165" spans="1:18" x14ac:dyDescent="0.2">
      <c r="A165" t="s">
        <v>14</v>
      </c>
      <c r="B165">
        <v>20231113</v>
      </c>
      <c r="C165">
        <v>100508.06</v>
      </c>
      <c r="D165">
        <v>100664.66</v>
      </c>
      <c r="E165">
        <v>1058</v>
      </c>
      <c r="F165">
        <v>1124</v>
      </c>
      <c r="G165" t="s">
        <v>176</v>
      </c>
      <c r="H165">
        <v>156.600000000005</v>
      </c>
      <c r="I165">
        <v>26</v>
      </c>
      <c r="J165" t="s">
        <v>16</v>
      </c>
      <c r="K165">
        <v>220.73</v>
      </c>
      <c r="L165">
        <v>220.98</v>
      </c>
      <c r="M165">
        <v>221.56</v>
      </c>
      <c r="N165">
        <v>222.72</v>
      </c>
      <c r="O165" s="1">
        <f t="shared" si="8"/>
        <v>1.1326054455669254E-3</v>
      </c>
      <c r="P165" s="1">
        <f t="shared" si="9"/>
        <v>2.624671916010568E-3</v>
      </c>
      <c r="Q165" t="str">
        <f t="shared" si="10"/>
        <v>IDLE</v>
      </c>
      <c r="R165">
        <f t="shared" si="11"/>
        <v>0</v>
      </c>
    </row>
    <row r="166" spans="1:18" x14ac:dyDescent="0.2">
      <c r="A166" t="s">
        <v>14</v>
      </c>
      <c r="B166">
        <v>20231113</v>
      </c>
      <c r="C166">
        <v>100664.66</v>
      </c>
      <c r="D166">
        <v>100744.76</v>
      </c>
      <c r="E166">
        <v>1128</v>
      </c>
      <c r="F166">
        <v>1151</v>
      </c>
      <c r="G166" t="s">
        <v>177</v>
      </c>
      <c r="H166">
        <v>80.099999999991198</v>
      </c>
      <c r="I166">
        <v>23</v>
      </c>
      <c r="J166" t="s">
        <v>16</v>
      </c>
      <c r="K166">
        <v>222.77</v>
      </c>
      <c r="L166">
        <v>223.6</v>
      </c>
      <c r="M166">
        <v>223.58</v>
      </c>
      <c r="N166">
        <v>224.5</v>
      </c>
      <c r="O166" s="1">
        <f t="shared" si="8"/>
        <v>3.7258158638955319E-3</v>
      </c>
      <c r="P166" s="1">
        <f t="shared" si="9"/>
        <v>-8.9445438282598211E-5</v>
      </c>
      <c r="Q166" t="str">
        <f t="shared" si="10"/>
        <v>IDLE</v>
      </c>
      <c r="R166">
        <f t="shared" si="11"/>
        <v>0</v>
      </c>
    </row>
    <row r="167" spans="1:18" x14ac:dyDescent="0.2">
      <c r="A167" t="s">
        <v>14</v>
      </c>
      <c r="B167">
        <v>20231113</v>
      </c>
      <c r="C167">
        <v>100744.76</v>
      </c>
      <c r="D167">
        <v>100715.39</v>
      </c>
      <c r="E167">
        <v>1227</v>
      </c>
      <c r="F167">
        <v>1229</v>
      </c>
      <c r="G167" t="s">
        <v>178</v>
      </c>
      <c r="H167">
        <v>-29.369999999995301</v>
      </c>
      <c r="I167">
        <v>2</v>
      </c>
      <c r="J167" t="s">
        <v>16</v>
      </c>
      <c r="K167">
        <v>223.41</v>
      </c>
      <c r="L167">
        <v>224.43</v>
      </c>
      <c r="M167">
        <v>224.67</v>
      </c>
      <c r="N167">
        <v>224.1</v>
      </c>
      <c r="O167" s="1">
        <f t="shared" si="8"/>
        <v>4.5655968846516348E-3</v>
      </c>
      <c r="P167" s="1">
        <f t="shared" si="9"/>
        <v>1.0693757519046887E-3</v>
      </c>
      <c r="Q167" t="str">
        <f t="shared" si="10"/>
        <v>IDLE</v>
      </c>
      <c r="R167">
        <f t="shared" si="11"/>
        <v>0</v>
      </c>
    </row>
    <row r="168" spans="1:18" x14ac:dyDescent="0.2">
      <c r="A168" t="s">
        <v>14</v>
      </c>
      <c r="B168">
        <v>20231113</v>
      </c>
      <c r="C168">
        <v>100715.39</v>
      </c>
      <c r="D168">
        <v>100687.8</v>
      </c>
      <c r="E168">
        <v>1233</v>
      </c>
      <c r="F168">
        <v>1237</v>
      </c>
      <c r="G168" t="s">
        <v>179</v>
      </c>
      <c r="H168">
        <v>-27.5899999999965</v>
      </c>
      <c r="I168">
        <v>4</v>
      </c>
      <c r="J168" t="s">
        <v>16</v>
      </c>
      <c r="K168">
        <v>223.47</v>
      </c>
      <c r="L168">
        <v>223.49</v>
      </c>
      <c r="M168">
        <v>224.74</v>
      </c>
      <c r="N168">
        <v>223.18</v>
      </c>
      <c r="O168" s="1">
        <f t="shared" si="8"/>
        <v>8.9497471696509123E-5</v>
      </c>
      <c r="P168" s="1">
        <f t="shared" si="9"/>
        <v>5.5930914134860732E-3</v>
      </c>
      <c r="Q168" t="str">
        <f t="shared" si="10"/>
        <v>BUY</v>
      </c>
      <c r="R168">
        <f t="shared" si="11"/>
        <v>-27.5899999999965</v>
      </c>
    </row>
    <row r="169" spans="1:18" x14ac:dyDescent="0.2">
      <c r="A169" t="s">
        <v>14</v>
      </c>
      <c r="B169">
        <v>20231113</v>
      </c>
      <c r="C169">
        <v>100687.8</v>
      </c>
      <c r="D169">
        <v>100753.66</v>
      </c>
      <c r="E169">
        <v>1353</v>
      </c>
      <c r="F169">
        <v>1434</v>
      </c>
      <c r="G169" t="s">
        <v>180</v>
      </c>
      <c r="H169">
        <v>65.860000000000497</v>
      </c>
      <c r="I169">
        <v>41</v>
      </c>
      <c r="J169" t="s">
        <v>16</v>
      </c>
      <c r="K169">
        <v>223.03</v>
      </c>
      <c r="L169">
        <v>223.54</v>
      </c>
      <c r="M169">
        <v>223.85</v>
      </c>
      <c r="N169">
        <v>224.28</v>
      </c>
      <c r="O169" s="1">
        <f t="shared" si="8"/>
        <v>2.286687889521577E-3</v>
      </c>
      <c r="P169" s="1">
        <f t="shared" si="9"/>
        <v>1.3867764158539408E-3</v>
      </c>
      <c r="Q169" t="str">
        <f t="shared" si="10"/>
        <v>IDLE</v>
      </c>
      <c r="R169">
        <f t="shared" si="11"/>
        <v>0</v>
      </c>
    </row>
    <row r="170" spans="1:18" x14ac:dyDescent="0.2">
      <c r="A170" t="s">
        <v>14</v>
      </c>
      <c r="B170">
        <v>20231113</v>
      </c>
      <c r="C170">
        <v>100753.66</v>
      </c>
      <c r="D170">
        <v>100748.32</v>
      </c>
      <c r="E170">
        <v>1438</v>
      </c>
      <c r="F170">
        <v>1439</v>
      </c>
      <c r="G170" t="s">
        <v>181</v>
      </c>
      <c r="H170">
        <v>-5.3399999999965004</v>
      </c>
      <c r="I170">
        <v>1</v>
      </c>
      <c r="J170" t="s">
        <v>16</v>
      </c>
      <c r="K170">
        <v>224.45</v>
      </c>
      <c r="L170">
        <v>224.67</v>
      </c>
      <c r="M170">
        <v>224.94</v>
      </c>
      <c r="N170">
        <v>224.61</v>
      </c>
      <c r="O170" s="1">
        <f t="shared" si="8"/>
        <v>9.8017375807524232E-4</v>
      </c>
      <c r="P170" s="1">
        <f t="shared" si="9"/>
        <v>1.2017625851248326E-3</v>
      </c>
      <c r="Q170" t="str">
        <f t="shared" si="10"/>
        <v>IDLE</v>
      </c>
      <c r="R170">
        <f t="shared" si="11"/>
        <v>0</v>
      </c>
    </row>
    <row r="171" spans="1:18" x14ac:dyDescent="0.2">
      <c r="A171" t="s">
        <v>14</v>
      </c>
      <c r="B171">
        <v>20231113</v>
      </c>
      <c r="C171">
        <v>100748.32</v>
      </c>
      <c r="D171">
        <v>100700.26</v>
      </c>
      <c r="E171">
        <v>1443</v>
      </c>
      <c r="F171">
        <v>1447</v>
      </c>
      <c r="G171" t="s">
        <v>182</v>
      </c>
      <c r="H171">
        <v>-48.060000000012202</v>
      </c>
      <c r="I171">
        <v>4</v>
      </c>
      <c r="J171" t="s">
        <v>16</v>
      </c>
      <c r="K171">
        <v>224.42</v>
      </c>
      <c r="L171">
        <v>224.6</v>
      </c>
      <c r="M171">
        <v>224.86</v>
      </c>
      <c r="N171">
        <v>224.06</v>
      </c>
      <c r="O171" s="1">
        <f t="shared" si="8"/>
        <v>8.020675519115894E-4</v>
      </c>
      <c r="P171" s="1">
        <f t="shared" si="9"/>
        <v>1.1576135351736294E-3</v>
      </c>
      <c r="Q171" t="str">
        <f t="shared" si="10"/>
        <v>IDLE</v>
      </c>
      <c r="R171">
        <f t="shared" si="11"/>
        <v>0</v>
      </c>
    </row>
    <row r="172" spans="1:18" x14ac:dyDescent="0.2">
      <c r="A172" t="s">
        <v>14</v>
      </c>
      <c r="B172">
        <v>20231113</v>
      </c>
      <c r="C172">
        <v>100700.26</v>
      </c>
      <c r="D172">
        <v>100653.09</v>
      </c>
      <c r="E172">
        <v>1553</v>
      </c>
      <c r="F172">
        <v>1555</v>
      </c>
      <c r="G172" t="s">
        <v>183</v>
      </c>
      <c r="H172">
        <v>-47.169999999998197</v>
      </c>
      <c r="I172">
        <v>2</v>
      </c>
      <c r="J172" t="s">
        <v>16</v>
      </c>
      <c r="K172">
        <v>223.76</v>
      </c>
      <c r="L172">
        <v>224.22</v>
      </c>
      <c r="M172">
        <v>224.34</v>
      </c>
      <c r="N172">
        <v>223.69</v>
      </c>
      <c r="O172" s="1">
        <f t="shared" si="8"/>
        <v>2.0557740436182304E-3</v>
      </c>
      <c r="P172" s="1">
        <f t="shared" si="9"/>
        <v>5.3518865400059568E-4</v>
      </c>
      <c r="Q172" t="str">
        <f t="shared" si="10"/>
        <v>IDLE</v>
      </c>
      <c r="R172">
        <f t="shared" si="11"/>
        <v>0</v>
      </c>
    </row>
    <row r="173" spans="1:18" x14ac:dyDescent="0.2">
      <c r="A173" t="s">
        <v>14</v>
      </c>
      <c r="B173">
        <v>20231114</v>
      </c>
      <c r="C173">
        <v>100653.09</v>
      </c>
      <c r="D173">
        <v>100593.75</v>
      </c>
      <c r="E173">
        <v>933</v>
      </c>
      <c r="F173">
        <v>934</v>
      </c>
      <c r="G173" t="s">
        <v>184</v>
      </c>
      <c r="H173">
        <v>-59.3399999999965</v>
      </c>
      <c r="I173">
        <v>1</v>
      </c>
      <c r="J173" t="s">
        <v>16</v>
      </c>
      <c r="K173">
        <v>220.63</v>
      </c>
      <c r="L173">
        <v>232.41</v>
      </c>
      <c r="M173">
        <v>234.17</v>
      </c>
      <c r="N173">
        <v>231.72</v>
      </c>
      <c r="O173" s="1">
        <f t="shared" si="8"/>
        <v>5.3392557675746799E-2</v>
      </c>
      <c r="P173" s="1">
        <f t="shared" si="9"/>
        <v>7.5728238888170818E-3</v>
      </c>
      <c r="Q173" t="str">
        <f t="shared" si="10"/>
        <v>BUY</v>
      </c>
      <c r="R173">
        <f t="shared" si="11"/>
        <v>-59.3399999999965</v>
      </c>
    </row>
    <row r="174" spans="1:18" x14ac:dyDescent="0.2">
      <c r="A174" t="s">
        <v>14</v>
      </c>
      <c r="B174">
        <v>20231114</v>
      </c>
      <c r="C174">
        <v>100593.75</v>
      </c>
      <c r="D174">
        <v>100765.75</v>
      </c>
      <c r="E174">
        <v>938</v>
      </c>
      <c r="F174">
        <v>945</v>
      </c>
      <c r="G174" t="s">
        <v>185</v>
      </c>
      <c r="H174">
        <v>172</v>
      </c>
      <c r="I174">
        <v>7</v>
      </c>
      <c r="J174" t="s">
        <v>16</v>
      </c>
      <c r="K174">
        <v>227.55</v>
      </c>
      <c r="L174">
        <v>232.42</v>
      </c>
      <c r="M174">
        <v>236.03</v>
      </c>
      <c r="N174">
        <v>234.42</v>
      </c>
      <c r="O174" s="1">
        <f t="shared" si="8"/>
        <v>2.1401889694572462E-2</v>
      </c>
      <c r="P174" s="1">
        <f t="shared" si="9"/>
        <v>1.553222614232852E-2</v>
      </c>
      <c r="Q174" t="str">
        <f t="shared" si="10"/>
        <v>BUY</v>
      </c>
      <c r="R174">
        <f t="shared" si="11"/>
        <v>172</v>
      </c>
    </row>
    <row r="175" spans="1:18" x14ac:dyDescent="0.2">
      <c r="A175" t="s">
        <v>14</v>
      </c>
      <c r="B175">
        <v>20231114</v>
      </c>
      <c r="C175">
        <v>100765.75</v>
      </c>
      <c r="D175">
        <v>100808.25</v>
      </c>
      <c r="E175">
        <v>949</v>
      </c>
      <c r="F175">
        <v>954</v>
      </c>
      <c r="G175" t="s">
        <v>186</v>
      </c>
      <c r="H175">
        <v>42.5</v>
      </c>
      <c r="I175">
        <v>5</v>
      </c>
      <c r="J175" t="s">
        <v>16</v>
      </c>
      <c r="K175">
        <v>232.95</v>
      </c>
      <c r="L175">
        <v>232.59</v>
      </c>
      <c r="M175">
        <v>235.15</v>
      </c>
      <c r="N175">
        <v>233.09</v>
      </c>
      <c r="O175" s="1">
        <f t="shared" si="8"/>
        <v>-1.5453960077269624E-3</v>
      </c>
      <c r="P175" s="1">
        <f t="shared" si="9"/>
        <v>1.1006492110580801E-2</v>
      </c>
      <c r="Q175" t="str">
        <f t="shared" si="10"/>
        <v>BUY</v>
      </c>
      <c r="R175">
        <f t="shared" si="11"/>
        <v>42.5</v>
      </c>
    </row>
    <row r="176" spans="1:18" x14ac:dyDescent="0.2">
      <c r="A176" t="s">
        <v>14</v>
      </c>
      <c r="B176">
        <v>20231114</v>
      </c>
      <c r="C176">
        <v>100808.25</v>
      </c>
      <c r="D176">
        <v>100754.7</v>
      </c>
      <c r="E176">
        <v>958</v>
      </c>
      <c r="F176">
        <v>1001</v>
      </c>
      <c r="G176" t="s">
        <v>187</v>
      </c>
      <c r="H176">
        <v>-53.550000000002903</v>
      </c>
      <c r="I176">
        <v>3</v>
      </c>
      <c r="J176" t="s">
        <v>16</v>
      </c>
      <c r="K176">
        <v>232.62</v>
      </c>
      <c r="L176">
        <v>234.11</v>
      </c>
      <c r="M176">
        <v>233.99</v>
      </c>
      <c r="N176">
        <v>233.48</v>
      </c>
      <c r="O176" s="1">
        <f t="shared" si="8"/>
        <v>6.4052961912131057E-3</v>
      </c>
      <c r="P176" s="1">
        <f t="shared" si="9"/>
        <v>-5.1257955661865306E-4</v>
      </c>
      <c r="Q176" t="str">
        <f t="shared" si="10"/>
        <v>IDLE</v>
      </c>
      <c r="R176">
        <f t="shared" si="11"/>
        <v>0</v>
      </c>
    </row>
    <row r="177" spans="1:18" x14ac:dyDescent="0.2">
      <c r="A177" t="s">
        <v>14</v>
      </c>
      <c r="B177">
        <v>20231114</v>
      </c>
      <c r="C177">
        <v>100754.7</v>
      </c>
      <c r="D177">
        <v>100662.05</v>
      </c>
      <c r="E177">
        <v>1005</v>
      </c>
      <c r="F177">
        <v>1006</v>
      </c>
      <c r="G177" t="s">
        <v>188</v>
      </c>
      <c r="H177">
        <v>-92.649999999994094</v>
      </c>
      <c r="I177">
        <v>1</v>
      </c>
      <c r="J177" t="s">
        <v>16</v>
      </c>
      <c r="K177">
        <v>233.14</v>
      </c>
      <c r="L177">
        <v>234.06</v>
      </c>
      <c r="M177">
        <v>234.13</v>
      </c>
      <c r="N177">
        <v>232.97</v>
      </c>
      <c r="O177" s="1">
        <f t="shared" si="8"/>
        <v>3.9461267907696662E-3</v>
      </c>
      <c r="P177" s="1">
        <f t="shared" si="9"/>
        <v>2.9906861488493419E-4</v>
      </c>
      <c r="Q177" t="str">
        <f t="shared" si="10"/>
        <v>IDLE</v>
      </c>
      <c r="R177">
        <f t="shared" si="11"/>
        <v>0</v>
      </c>
    </row>
    <row r="178" spans="1:18" x14ac:dyDescent="0.2">
      <c r="A178" t="s">
        <v>14</v>
      </c>
      <c r="B178">
        <v>20231114</v>
      </c>
      <c r="C178">
        <v>100662.05</v>
      </c>
      <c r="D178">
        <v>100620.77</v>
      </c>
      <c r="E178">
        <v>1010</v>
      </c>
      <c r="F178">
        <v>1017</v>
      </c>
      <c r="G178" t="s">
        <v>189</v>
      </c>
      <c r="H178">
        <v>-41.2799999999988</v>
      </c>
      <c r="I178">
        <v>7</v>
      </c>
      <c r="J178" t="s">
        <v>16</v>
      </c>
      <c r="K178">
        <v>231.87</v>
      </c>
      <c r="L178">
        <v>232.54</v>
      </c>
      <c r="M178">
        <v>234.17</v>
      </c>
      <c r="N178">
        <v>232.06</v>
      </c>
      <c r="O178" s="1">
        <f t="shared" si="8"/>
        <v>2.8895501789796274E-3</v>
      </c>
      <c r="P178" s="1">
        <f t="shared" si="9"/>
        <v>7.0095467446460447E-3</v>
      </c>
      <c r="Q178" t="str">
        <f t="shared" si="10"/>
        <v>BUY</v>
      </c>
      <c r="R178">
        <f t="shared" si="11"/>
        <v>-41.2799999999988</v>
      </c>
    </row>
    <row r="179" spans="1:18" x14ac:dyDescent="0.2">
      <c r="A179" t="s">
        <v>14</v>
      </c>
      <c r="B179">
        <v>20231114</v>
      </c>
      <c r="C179">
        <v>100620.77</v>
      </c>
      <c r="D179">
        <v>100578.27</v>
      </c>
      <c r="E179">
        <v>1035</v>
      </c>
      <c r="F179">
        <v>1036</v>
      </c>
      <c r="G179" t="s">
        <v>190</v>
      </c>
      <c r="H179">
        <v>-42.5</v>
      </c>
      <c r="I179">
        <v>1</v>
      </c>
      <c r="J179" t="s">
        <v>16</v>
      </c>
      <c r="K179">
        <v>232.47</v>
      </c>
      <c r="L179">
        <v>233.5</v>
      </c>
      <c r="M179">
        <v>233.35</v>
      </c>
      <c r="N179">
        <v>233</v>
      </c>
      <c r="O179" s="1">
        <f t="shared" si="8"/>
        <v>4.4306792274271256E-3</v>
      </c>
      <c r="P179" s="1">
        <f t="shared" si="9"/>
        <v>-6.4239828693790635E-4</v>
      </c>
      <c r="Q179" t="str">
        <f t="shared" si="10"/>
        <v>IDLE</v>
      </c>
      <c r="R179">
        <f t="shared" si="11"/>
        <v>0</v>
      </c>
    </row>
    <row r="180" spans="1:18" x14ac:dyDescent="0.2">
      <c r="A180" t="s">
        <v>14</v>
      </c>
      <c r="B180">
        <v>20231114</v>
      </c>
      <c r="C180">
        <v>100578.27</v>
      </c>
      <c r="D180">
        <v>100532.37</v>
      </c>
      <c r="E180">
        <v>1040</v>
      </c>
      <c r="F180">
        <v>1050</v>
      </c>
      <c r="G180" t="s">
        <v>191</v>
      </c>
      <c r="H180">
        <v>-45.900000000008703</v>
      </c>
      <c r="I180">
        <v>10</v>
      </c>
      <c r="J180" t="s">
        <v>16</v>
      </c>
      <c r="K180">
        <v>232.58</v>
      </c>
      <c r="L180">
        <v>233.85</v>
      </c>
      <c r="M180">
        <v>233.76</v>
      </c>
      <c r="N180">
        <v>233.31</v>
      </c>
      <c r="O180" s="1">
        <f t="shared" si="8"/>
        <v>5.4604867142487024E-3</v>
      </c>
      <c r="P180" s="1">
        <f t="shared" si="9"/>
        <v>-3.8486209108401503E-4</v>
      </c>
      <c r="Q180" t="str">
        <f t="shared" si="10"/>
        <v>IDLE</v>
      </c>
      <c r="R180">
        <f t="shared" si="11"/>
        <v>0</v>
      </c>
    </row>
    <row r="181" spans="1:18" x14ac:dyDescent="0.2">
      <c r="A181" t="s">
        <v>14</v>
      </c>
      <c r="B181">
        <v>20231114</v>
      </c>
      <c r="C181">
        <v>100532.37</v>
      </c>
      <c r="D181">
        <v>100498.37</v>
      </c>
      <c r="E181">
        <v>1054</v>
      </c>
      <c r="F181">
        <v>1055</v>
      </c>
      <c r="G181" t="s">
        <v>192</v>
      </c>
      <c r="H181">
        <v>-34</v>
      </c>
      <c r="I181">
        <v>1</v>
      </c>
      <c r="J181" t="s">
        <v>16</v>
      </c>
      <c r="K181">
        <v>232.96</v>
      </c>
      <c r="L181">
        <v>233.13</v>
      </c>
      <c r="M181">
        <v>234.04</v>
      </c>
      <c r="N181">
        <v>232.73</v>
      </c>
      <c r="O181" s="1">
        <f t="shared" si="8"/>
        <v>7.2973901098905003E-4</v>
      </c>
      <c r="P181" s="1">
        <f t="shared" si="9"/>
        <v>3.9034015356238516E-3</v>
      </c>
      <c r="Q181" t="str">
        <f t="shared" si="10"/>
        <v>IDLE</v>
      </c>
      <c r="R181">
        <f t="shared" si="11"/>
        <v>0</v>
      </c>
    </row>
    <row r="182" spans="1:18" x14ac:dyDescent="0.2">
      <c r="A182" t="s">
        <v>14</v>
      </c>
      <c r="B182">
        <v>20231114</v>
      </c>
      <c r="C182">
        <v>100498.37</v>
      </c>
      <c r="D182">
        <v>100477.12</v>
      </c>
      <c r="E182">
        <v>1107</v>
      </c>
      <c r="F182">
        <v>1108</v>
      </c>
      <c r="G182" t="s">
        <v>193</v>
      </c>
      <c r="H182">
        <v>-21.25</v>
      </c>
      <c r="I182">
        <v>1</v>
      </c>
      <c r="J182" t="s">
        <v>16</v>
      </c>
      <c r="K182">
        <v>232.91</v>
      </c>
      <c r="L182">
        <v>234.07</v>
      </c>
      <c r="M182">
        <v>234.19</v>
      </c>
      <c r="N182">
        <v>233.82</v>
      </c>
      <c r="O182" s="1">
        <f t="shared" si="8"/>
        <v>4.980464557124975E-3</v>
      </c>
      <c r="P182" s="1">
        <f t="shared" si="9"/>
        <v>5.1266715085240833E-4</v>
      </c>
      <c r="Q182" t="str">
        <f t="shared" si="10"/>
        <v>IDLE</v>
      </c>
      <c r="R182">
        <f t="shared" si="11"/>
        <v>0</v>
      </c>
    </row>
    <row r="183" spans="1:18" x14ac:dyDescent="0.2">
      <c r="A183" t="s">
        <v>14</v>
      </c>
      <c r="B183">
        <v>20231114</v>
      </c>
      <c r="C183">
        <v>100477.12</v>
      </c>
      <c r="D183">
        <v>100466.92</v>
      </c>
      <c r="E183">
        <v>1112</v>
      </c>
      <c r="F183">
        <v>1122</v>
      </c>
      <c r="G183" t="s">
        <v>194</v>
      </c>
      <c r="H183">
        <v>-10.199999999997001</v>
      </c>
      <c r="I183">
        <v>10</v>
      </c>
      <c r="J183" t="s">
        <v>16</v>
      </c>
      <c r="K183">
        <v>233.64</v>
      </c>
      <c r="L183">
        <v>234.5</v>
      </c>
      <c r="M183">
        <v>234.47</v>
      </c>
      <c r="N183">
        <v>234.38</v>
      </c>
      <c r="O183" s="1">
        <f t="shared" si="8"/>
        <v>3.6808765622324824E-3</v>
      </c>
      <c r="P183" s="1">
        <f t="shared" si="9"/>
        <v>-1.2793176972281106E-4</v>
      </c>
      <c r="Q183" t="str">
        <f t="shared" si="10"/>
        <v>IDLE</v>
      </c>
      <c r="R183">
        <f t="shared" si="11"/>
        <v>0</v>
      </c>
    </row>
    <row r="184" spans="1:18" x14ac:dyDescent="0.2">
      <c r="A184" t="s">
        <v>14</v>
      </c>
      <c r="B184">
        <v>20231114</v>
      </c>
      <c r="C184">
        <v>100466.92</v>
      </c>
      <c r="D184">
        <v>100437.17</v>
      </c>
      <c r="E184">
        <v>1126</v>
      </c>
      <c r="F184">
        <v>1130</v>
      </c>
      <c r="G184" t="s">
        <v>195</v>
      </c>
      <c r="H184">
        <v>-29.75</v>
      </c>
      <c r="I184">
        <v>4</v>
      </c>
      <c r="J184" t="s">
        <v>16</v>
      </c>
      <c r="K184">
        <v>234.04</v>
      </c>
      <c r="L184">
        <v>234.1</v>
      </c>
      <c r="M184">
        <v>235</v>
      </c>
      <c r="N184">
        <v>233.75</v>
      </c>
      <c r="O184" s="1">
        <f t="shared" si="8"/>
        <v>2.5636643308835083E-4</v>
      </c>
      <c r="P184" s="1">
        <f t="shared" si="9"/>
        <v>3.8445108927809279E-3</v>
      </c>
      <c r="Q184" t="str">
        <f t="shared" si="10"/>
        <v>IDLE</v>
      </c>
      <c r="R184">
        <f t="shared" si="11"/>
        <v>0</v>
      </c>
    </row>
    <row r="185" spans="1:18" x14ac:dyDescent="0.2">
      <c r="A185" t="s">
        <v>14</v>
      </c>
      <c r="B185">
        <v>20231114</v>
      </c>
      <c r="C185">
        <v>100437.17</v>
      </c>
      <c r="D185">
        <v>100434.65</v>
      </c>
      <c r="E185">
        <v>1145</v>
      </c>
      <c r="F185">
        <v>1146</v>
      </c>
      <c r="G185" t="s">
        <v>196</v>
      </c>
      <c r="H185">
        <v>-2.5200000000040701</v>
      </c>
      <c r="I185">
        <v>1</v>
      </c>
      <c r="J185" t="s">
        <v>16</v>
      </c>
      <c r="K185">
        <v>233.7</v>
      </c>
      <c r="L185">
        <v>235.45</v>
      </c>
      <c r="M185">
        <v>235.54</v>
      </c>
      <c r="N185">
        <v>235.42</v>
      </c>
      <c r="O185" s="1">
        <f t="shared" si="8"/>
        <v>7.4882327770646739E-3</v>
      </c>
      <c r="P185" s="1">
        <f t="shared" si="9"/>
        <v>3.822467615204328E-4</v>
      </c>
      <c r="Q185" t="str">
        <f t="shared" si="10"/>
        <v>IDLE</v>
      </c>
      <c r="R185">
        <f t="shared" si="11"/>
        <v>0</v>
      </c>
    </row>
    <row r="186" spans="1:18" x14ac:dyDescent="0.2">
      <c r="A186" t="s">
        <v>14</v>
      </c>
      <c r="B186">
        <v>20231114</v>
      </c>
      <c r="C186">
        <v>100434.65</v>
      </c>
      <c r="D186">
        <v>100397.25</v>
      </c>
      <c r="E186">
        <v>1150</v>
      </c>
      <c r="F186">
        <v>1151</v>
      </c>
      <c r="G186" t="s">
        <v>197</v>
      </c>
      <c r="H186">
        <v>-37.399999999994101</v>
      </c>
      <c r="I186">
        <v>1</v>
      </c>
      <c r="J186" t="s">
        <v>16</v>
      </c>
      <c r="K186">
        <v>234.5</v>
      </c>
      <c r="L186">
        <v>234.58</v>
      </c>
      <c r="M186">
        <v>235.65</v>
      </c>
      <c r="N186">
        <v>234.14</v>
      </c>
      <c r="O186" s="1">
        <f t="shared" si="8"/>
        <v>3.4115138592749616E-4</v>
      </c>
      <c r="P186" s="1">
        <f t="shared" si="9"/>
        <v>4.5613436780629346E-3</v>
      </c>
      <c r="Q186" t="str">
        <f t="shared" si="10"/>
        <v>IDLE</v>
      </c>
      <c r="R186">
        <f t="shared" si="11"/>
        <v>0</v>
      </c>
    </row>
    <row r="187" spans="1:18" x14ac:dyDescent="0.2">
      <c r="A187" t="s">
        <v>14</v>
      </c>
      <c r="B187">
        <v>20231114</v>
      </c>
      <c r="C187">
        <v>100397.25</v>
      </c>
      <c r="D187">
        <v>100382.13</v>
      </c>
      <c r="E187">
        <v>1303</v>
      </c>
      <c r="F187">
        <v>1309</v>
      </c>
      <c r="G187" t="s">
        <v>198</v>
      </c>
      <c r="H187">
        <v>-15.119999999995301</v>
      </c>
      <c r="I187">
        <v>6</v>
      </c>
      <c r="J187" t="s">
        <v>16</v>
      </c>
      <c r="K187">
        <v>235.27</v>
      </c>
      <c r="L187">
        <v>235.54</v>
      </c>
      <c r="M187">
        <v>235.65</v>
      </c>
      <c r="N187">
        <v>235.36</v>
      </c>
      <c r="O187" s="1">
        <f t="shared" si="8"/>
        <v>1.1476176308071739E-3</v>
      </c>
      <c r="P187" s="1">
        <f t="shared" si="9"/>
        <v>4.6701197248877335E-4</v>
      </c>
      <c r="Q187" t="str">
        <f t="shared" si="10"/>
        <v>IDLE</v>
      </c>
      <c r="R187">
        <f t="shared" si="11"/>
        <v>0</v>
      </c>
    </row>
    <row r="188" spans="1:18" x14ac:dyDescent="0.2">
      <c r="A188" t="s">
        <v>14</v>
      </c>
      <c r="B188">
        <v>20231114</v>
      </c>
      <c r="C188">
        <v>100382.13</v>
      </c>
      <c r="D188">
        <v>100373.73</v>
      </c>
      <c r="E188">
        <v>1313</v>
      </c>
      <c r="F188">
        <v>1315</v>
      </c>
      <c r="G188" t="s">
        <v>199</v>
      </c>
      <c r="H188">
        <v>-8.4000000000087294</v>
      </c>
      <c r="I188">
        <v>2</v>
      </c>
      <c r="J188" t="s">
        <v>16</v>
      </c>
      <c r="K188">
        <v>235.2</v>
      </c>
      <c r="L188">
        <v>235.3</v>
      </c>
      <c r="M188">
        <v>235.6</v>
      </c>
      <c r="N188">
        <v>235.2</v>
      </c>
      <c r="O188" s="1">
        <f t="shared" si="8"/>
        <v>4.2517006802733626E-4</v>
      </c>
      <c r="P188" s="1">
        <f t="shared" si="9"/>
        <v>1.2749681257968604E-3</v>
      </c>
      <c r="Q188" t="str">
        <f t="shared" si="10"/>
        <v>IDLE</v>
      </c>
      <c r="R188">
        <f t="shared" si="11"/>
        <v>0</v>
      </c>
    </row>
    <row r="189" spans="1:18" x14ac:dyDescent="0.2">
      <c r="A189" t="s">
        <v>14</v>
      </c>
      <c r="B189">
        <v>20231114</v>
      </c>
      <c r="C189">
        <v>100373.73</v>
      </c>
      <c r="D189">
        <v>100384.65</v>
      </c>
      <c r="E189">
        <v>1319</v>
      </c>
      <c r="F189">
        <v>1342</v>
      </c>
      <c r="G189" t="s">
        <v>200</v>
      </c>
      <c r="H189">
        <v>10.9199999999982</v>
      </c>
      <c r="I189">
        <v>23</v>
      </c>
      <c r="J189" t="s">
        <v>16</v>
      </c>
      <c r="K189">
        <v>235.16</v>
      </c>
      <c r="L189">
        <v>235.39</v>
      </c>
      <c r="M189">
        <v>235.49</v>
      </c>
      <c r="N189">
        <v>235.52</v>
      </c>
      <c r="O189" s="1">
        <f t="shared" si="8"/>
        <v>9.7805749277091181E-4</v>
      </c>
      <c r="P189" s="1">
        <f t="shared" si="9"/>
        <v>4.2482688304534832E-4</v>
      </c>
      <c r="Q189" t="str">
        <f t="shared" si="10"/>
        <v>IDLE</v>
      </c>
      <c r="R189">
        <f t="shared" si="11"/>
        <v>0</v>
      </c>
    </row>
    <row r="190" spans="1:18" x14ac:dyDescent="0.2">
      <c r="A190" t="s">
        <v>14</v>
      </c>
      <c r="B190">
        <v>20231114</v>
      </c>
      <c r="C190">
        <v>100384.65</v>
      </c>
      <c r="D190">
        <v>100364.49</v>
      </c>
      <c r="E190">
        <v>1433</v>
      </c>
      <c r="F190">
        <v>1434</v>
      </c>
      <c r="G190" t="s">
        <v>201</v>
      </c>
      <c r="H190">
        <v>-20.159999999988901</v>
      </c>
      <c r="I190">
        <v>1</v>
      </c>
      <c r="J190" t="s">
        <v>16</v>
      </c>
      <c r="K190">
        <v>235.32</v>
      </c>
      <c r="L190">
        <v>236.27</v>
      </c>
      <c r="M190">
        <v>236.39</v>
      </c>
      <c r="N190">
        <v>236.03</v>
      </c>
      <c r="O190" s="1">
        <f t="shared" si="8"/>
        <v>4.0370559238485093E-3</v>
      </c>
      <c r="P190" s="1">
        <f t="shared" si="9"/>
        <v>5.0789351166025121E-4</v>
      </c>
      <c r="Q190" t="str">
        <f t="shared" si="10"/>
        <v>IDLE</v>
      </c>
      <c r="R190">
        <f t="shared" si="11"/>
        <v>0</v>
      </c>
    </row>
    <row r="191" spans="1:18" x14ac:dyDescent="0.2">
      <c r="A191" t="s">
        <v>14</v>
      </c>
      <c r="B191">
        <v>20231114</v>
      </c>
      <c r="C191">
        <v>100364.49</v>
      </c>
      <c r="D191">
        <v>100451.85</v>
      </c>
      <c r="E191">
        <v>1438</v>
      </c>
      <c r="F191">
        <v>1551</v>
      </c>
      <c r="G191" t="s">
        <v>202</v>
      </c>
      <c r="H191">
        <v>87.360000000000497</v>
      </c>
      <c r="I191">
        <v>73</v>
      </c>
      <c r="J191" t="s">
        <v>16</v>
      </c>
      <c r="K191">
        <v>235.99</v>
      </c>
      <c r="L191">
        <v>236.08</v>
      </c>
      <c r="M191">
        <v>236.24</v>
      </c>
      <c r="N191">
        <v>237.12</v>
      </c>
      <c r="O191" s="1">
        <f t="shared" si="8"/>
        <v>3.8137209203781275E-4</v>
      </c>
      <c r="P191" s="1">
        <f t="shared" si="9"/>
        <v>6.7773636055568076E-4</v>
      </c>
      <c r="Q191" t="str">
        <f t="shared" si="10"/>
        <v>IDLE</v>
      </c>
      <c r="R191">
        <f t="shared" si="11"/>
        <v>0</v>
      </c>
    </row>
    <row r="192" spans="1:18" x14ac:dyDescent="0.2">
      <c r="A192" t="s">
        <v>14</v>
      </c>
      <c r="B192">
        <v>20231115</v>
      </c>
      <c r="C192">
        <v>100451.85</v>
      </c>
      <c r="D192">
        <v>100607.89</v>
      </c>
      <c r="E192">
        <v>936</v>
      </c>
      <c r="F192">
        <v>939</v>
      </c>
      <c r="G192" t="s">
        <v>203</v>
      </c>
      <c r="H192">
        <v>156.039999999993</v>
      </c>
      <c r="I192">
        <v>3</v>
      </c>
      <c r="J192" t="s">
        <v>16</v>
      </c>
      <c r="K192">
        <v>236.57</v>
      </c>
      <c r="L192">
        <v>238.9</v>
      </c>
      <c r="M192">
        <v>239.74</v>
      </c>
      <c r="N192">
        <v>240.78</v>
      </c>
      <c r="O192" s="1">
        <f t="shared" si="8"/>
        <v>9.8490932916261986E-3</v>
      </c>
      <c r="P192" s="1">
        <f t="shared" si="9"/>
        <v>3.5161155295102553E-3</v>
      </c>
      <c r="Q192" t="str">
        <f t="shared" si="10"/>
        <v>IDLE</v>
      </c>
      <c r="R192">
        <f t="shared" si="11"/>
        <v>0</v>
      </c>
    </row>
    <row r="193" spans="1:18" x14ac:dyDescent="0.2">
      <c r="A193" t="s">
        <v>14</v>
      </c>
      <c r="B193">
        <v>20231115</v>
      </c>
      <c r="C193">
        <v>100607.89</v>
      </c>
      <c r="D193">
        <v>100554.59</v>
      </c>
      <c r="E193">
        <v>943</v>
      </c>
      <c r="F193">
        <v>945</v>
      </c>
      <c r="G193" t="s">
        <v>204</v>
      </c>
      <c r="H193">
        <v>-53.300000000002903</v>
      </c>
      <c r="I193">
        <v>2</v>
      </c>
      <c r="J193" t="s">
        <v>16</v>
      </c>
      <c r="K193">
        <v>239.39</v>
      </c>
      <c r="L193">
        <v>241.3</v>
      </c>
      <c r="M193">
        <v>241.62</v>
      </c>
      <c r="N193">
        <v>240.65</v>
      </c>
      <c r="O193" s="1">
        <f t="shared" si="8"/>
        <v>7.9786123062786096E-3</v>
      </c>
      <c r="P193" s="1">
        <f t="shared" si="9"/>
        <v>1.3261500207211174E-3</v>
      </c>
      <c r="Q193" t="str">
        <f t="shared" si="10"/>
        <v>IDLE</v>
      </c>
      <c r="R193">
        <f t="shared" si="11"/>
        <v>0</v>
      </c>
    </row>
    <row r="194" spans="1:18" x14ac:dyDescent="0.2">
      <c r="A194" t="s">
        <v>14</v>
      </c>
      <c r="B194">
        <v>20231115</v>
      </c>
      <c r="C194">
        <v>100554.59</v>
      </c>
      <c r="D194">
        <v>100498.98</v>
      </c>
      <c r="E194">
        <v>949</v>
      </c>
      <c r="F194">
        <v>951</v>
      </c>
      <c r="G194" t="s">
        <v>205</v>
      </c>
      <c r="H194">
        <v>-55.610000000000497</v>
      </c>
      <c r="I194">
        <v>2</v>
      </c>
      <c r="J194" t="s">
        <v>16</v>
      </c>
      <c r="K194">
        <v>239.84</v>
      </c>
      <c r="L194">
        <v>240.75</v>
      </c>
      <c r="M194">
        <v>241.49</v>
      </c>
      <c r="N194">
        <v>240.08</v>
      </c>
      <c r="O194" s="1">
        <f t="shared" si="8"/>
        <v>3.7941961307537131E-3</v>
      </c>
      <c r="P194" s="1">
        <f t="shared" si="9"/>
        <v>3.0737279335411039E-3</v>
      </c>
      <c r="Q194" t="str">
        <f t="shared" si="10"/>
        <v>IDLE</v>
      </c>
      <c r="R194">
        <f t="shared" si="11"/>
        <v>0</v>
      </c>
    </row>
    <row r="195" spans="1:18" x14ac:dyDescent="0.2">
      <c r="A195" t="s">
        <v>14</v>
      </c>
      <c r="B195">
        <v>20231115</v>
      </c>
      <c r="C195">
        <v>100498.98</v>
      </c>
      <c r="D195">
        <v>100683.24</v>
      </c>
      <c r="E195">
        <v>955</v>
      </c>
      <c r="F195">
        <v>1010</v>
      </c>
      <c r="G195" t="s">
        <v>206</v>
      </c>
      <c r="H195">
        <v>184.260000000009</v>
      </c>
      <c r="I195">
        <v>15</v>
      </c>
      <c r="J195" t="s">
        <v>16</v>
      </c>
      <c r="K195">
        <v>238.56</v>
      </c>
      <c r="L195">
        <v>238.94</v>
      </c>
      <c r="M195">
        <v>240.96</v>
      </c>
      <c r="N195">
        <v>241.16</v>
      </c>
      <c r="O195" s="1">
        <f t="shared" si="8"/>
        <v>1.5928906773976514E-3</v>
      </c>
      <c r="P195" s="1">
        <f t="shared" si="9"/>
        <v>8.454005189587388E-3</v>
      </c>
      <c r="Q195" t="str">
        <f t="shared" si="10"/>
        <v>BUY</v>
      </c>
      <c r="R195">
        <f t="shared" si="11"/>
        <v>184.260000000009</v>
      </c>
    </row>
    <row r="196" spans="1:18" x14ac:dyDescent="0.2">
      <c r="A196" t="s">
        <v>14</v>
      </c>
      <c r="B196">
        <v>20231115</v>
      </c>
      <c r="C196">
        <v>100683.24</v>
      </c>
      <c r="D196">
        <v>100751.3</v>
      </c>
      <c r="E196">
        <v>1014</v>
      </c>
      <c r="F196">
        <v>1029</v>
      </c>
      <c r="G196" t="s">
        <v>207</v>
      </c>
      <c r="H196">
        <v>68.059999999997601</v>
      </c>
      <c r="I196">
        <v>15</v>
      </c>
      <c r="J196" t="s">
        <v>16</v>
      </c>
      <c r="K196">
        <v>240.99</v>
      </c>
      <c r="L196">
        <v>241.33</v>
      </c>
      <c r="M196">
        <v>241.73</v>
      </c>
      <c r="N196">
        <v>242.16</v>
      </c>
      <c r="O196" s="1">
        <f t="shared" ref="O196:O259" si="12">(L196/K196)-1</f>
        <v>1.4108469231088883E-3</v>
      </c>
      <c r="P196" s="1">
        <f t="shared" ref="P196:P259" si="13">(M196/L196)-1</f>
        <v>1.6574814569261243E-3</v>
      </c>
      <c r="Q196" t="str">
        <f t="shared" ref="Q196:Q259" si="14">IF(J196="SELL",IF(O196&gt;=$O$1,"SELL","IDLE"),IF(P196&gt;=$P$1,"BUY","IDLE"))</f>
        <v>IDLE</v>
      </c>
      <c r="R196">
        <f t="shared" ref="R196:R259" si="15">IF(Q196&lt;&gt;"IDLE",H196,0)</f>
        <v>0</v>
      </c>
    </row>
    <row r="197" spans="1:18" x14ac:dyDescent="0.2">
      <c r="A197" t="s">
        <v>14</v>
      </c>
      <c r="B197">
        <v>20231115</v>
      </c>
      <c r="C197">
        <v>100751.3</v>
      </c>
      <c r="D197">
        <v>100916.94</v>
      </c>
      <c r="E197">
        <v>1033</v>
      </c>
      <c r="F197">
        <v>1105</v>
      </c>
      <c r="G197" t="s">
        <v>208</v>
      </c>
      <c r="H197">
        <v>165.63999999999899</v>
      </c>
      <c r="I197">
        <v>32</v>
      </c>
      <c r="J197" t="s">
        <v>16</v>
      </c>
      <c r="K197">
        <v>242.22</v>
      </c>
      <c r="L197">
        <v>242.95</v>
      </c>
      <c r="M197">
        <v>242.92</v>
      </c>
      <c r="N197">
        <v>244.97</v>
      </c>
      <c r="O197" s="1">
        <f t="shared" si="12"/>
        <v>3.0137891173314113E-3</v>
      </c>
      <c r="P197" s="1">
        <f t="shared" si="13"/>
        <v>-1.2348219798308246E-4</v>
      </c>
      <c r="Q197" t="str">
        <f t="shared" si="14"/>
        <v>IDLE</v>
      </c>
      <c r="R197">
        <f t="shared" si="15"/>
        <v>0</v>
      </c>
    </row>
    <row r="198" spans="1:18" x14ac:dyDescent="0.2">
      <c r="A198" t="s">
        <v>14</v>
      </c>
      <c r="B198">
        <v>20231115</v>
      </c>
      <c r="C198">
        <v>100916.94</v>
      </c>
      <c r="D198">
        <v>100908.84</v>
      </c>
      <c r="E198">
        <v>1109</v>
      </c>
      <c r="F198">
        <v>1112</v>
      </c>
      <c r="G198" t="s">
        <v>209</v>
      </c>
      <c r="H198">
        <v>-8.1000000000058208</v>
      </c>
      <c r="I198">
        <v>3</v>
      </c>
      <c r="J198" t="s">
        <v>16</v>
      </c>
      <c r="K198">
        <v>244.84</v>
      </c>
      <c r="L198">
        <v>244.98</v>
      </c>
      <c r="M198">
        <v>246.56</v>
      </c>
      <c r="N198">
        <v>244.88</v>
      </c>
      <c r="O198" s="1">
        <f t="shared" si="12"/>
        <v>5.7180199313822122E-4</v>
      </c>
      <c r="P198" s="1">
        <f t="shared" si="13"/>
        <v>6.4495060821292416E-3</v>
      </c>
      <c r="Q198" t="str">
        <f t="shared" si="14"/>
        <v>BUY</v>
      </c>
      <c r="R198">
        <f t="shared" si="15"/>
        <v>-8.1000000000058208</v>
      </c>
    </row>
    <row r="199" spans="1:18" x14ac:dyDescent="0.2">
      <c r="A199" t="s">
        <v>14</v>
      </c>
      <c r="B199">
        <v>20231115</v>
      </c>
      <c r="C199">
        <v>100908.84</v>
      </c>
      <c r="D199">
        <v>100877.25</v>
      </c>
      <c r="E199">
        <v>1132</v>
      </c>
      <c r="F199">
        <v>1133</v>
      </c>
      <c r="G199" t="s">
        <v>210</v>
      </c>
      <c r="H199">
        <v>-31.5899999999965</v>
      </c>
      <c r="I199">
        <v>1</v>
      </c>
      <c r="J199" t="s">
        <v>16</v>
      </c>
      <c r="K199">
        <v>245.11</v>
      </c>
      <c r="L199">
        <v>244.93</v>
      </c>
      <c r="M199">
        <v>245.99</v>
      </c>
      <c r="N199">
        <v>244.54</v>
      </c>
      <c r="O199" s="1">
        <f t="shared" si="12"/>
        <v>-7.3436416302885554E-4</v>
      </c>
      <c r="P199" s="1">
        <f t="shared" si="13"/>
        <v>4.3277671171355614E-3</v>
      </c>
      <c r="Q199" t="str">
        <f t="shared" si="14"/>
        <v>IDLE</v>
      </c>
      <c r="R199">
        <f t="shared" si="15"/>
        <v>0</v>
      </c>
    </row>
    <row r="200" spans="1:18" x14ac:dyDescent="0.2">
      <c r="A200" t="s">
        <v>14</v>
      </c>
      <c r="B200">
        <v>20231115</v>
      </c>
      <c r="C200">
        <v>100877.25</v>
      </c>
      <c r="D200">
        <v>100867.41</v>
      </c>
      <c r="E200">
        <v>1204</v>
      </c>
      <c r="F200">
        <v>1206</v>
      </c>
      <c r="G200" t="s">
        <v>211</v>
      </c>
      <c r="H200">
        <v>-9.8399999999965004</v>
      </c>
      <c r="I200">
        <v>2</v>
      </c>
      <c r="J200" t="s">
        <v>15</v>
      </c>
      <c r="K200">
        <v>241.84</v>
      </c>
      <c r="L200">
        <v>242.7</v>
      </c>
      <c r="M200">
        <v>242.82</v>
      </c>
      <c r="N200">
        <v>242.82</v>
      </c>
      <c r="O200" s="1">
        <f t="shared" si="12"/>
        <v>3.5560701290109353E-3</v>
      </c>
      <c r="P200" s="1">
        <f t="shared" si="13"/>
        <v>4.9443757725597948E-4</v>
      </c>
      <c r="Q200" t="str">
        <f t="shared" si="14"/>
        <v>SELL</v>
      </c>
      <c r="R200">
        <f t="shared" si="15"/>
        <v>-9.8399999999965004</v>
      </c>
    </row>
    <row r="201" spans="1:18" x14ac:dyDescent="0.2">
      <c r="A201" t="s">
        <v>14</v>
      </c>
      <c r="B201">
        <v>20231115</v>
      </c>
      <c r="C201">
        <v>100867.41</v>
      </c>
      <c r="D201">
        <v>100823.95</v>
      </c>
      <c r="E201">
        <v>1210</v>
      </c>
      <c r="F201">
        <v>1214</v>
      </c>
      <c r="G201" t="s">
        <v>212</v>
      </c>
      <c r="H201">
        <v>-43.460000000006403</v>
      </c>
      <c r="I201">
        <v>4</v>
      </c>
      <c r="J201" t="s">
        <v>15</v>
      </c>
      <c r="K201">
        <v>242.57</v>
      </c>
      <c r="L201">
        <v>242.65</v>
      </c>
      <c r="M201">
        <v>242.93</v>
      </c>
      <c r="N201">
        <v>243.18</v>
      </c>
      <c r="O201" s="1">
        <f t="shared" si="12"/>
        <v>3.2980170672392006E-4</v>
      </c>
      <c r="P201" s="1">
        <f t="shared" si="13"/>
        <v>1.1539254069647953E-3</v>
      </c>
      <c r="Q201" t="str">
        <f t="shared" si="14"/>
        <v>SELL</v>
      </c>
      <c r="R201">
        <f t="shared" si="15"/>
        <v>-43.460000000006403</v>
      </c>
    </row>
    <row r="202" spans="1:18" x14ac:dyDescent="0.2">
      <c r="A202" t="s">
        <v>14</v>
      </c>
      <c r="B202">
        <v>20231115</v>
      </c>
      <c r="C202">
        <v>100823.95</v>
      </c>
      <c r="D202">
        <v>100764.09</v>
      </c>
      <c r="E202">
        <v>1308</v>
      </c>
      <c r="F202">
        <v>1311</v>
      </c>
      <c r="G202" t="s">
        <v>213</v>
      </c>
      <c r="H202">
        <v>-59.860000000000497</v>
      </c>
      <c r="I202">
        <v>3</v>
      </c>
      <c r="J202" t="s">
        <v>15</v>
      </c>
      <c r="K202">
        <v>241.37</v>
      </c>
      <c r="L202">
        <v>241.24</v>
      </c>
      <c r="M202">
        <v>243.88</v>
      </c>
      <c r="N202">
        <v>241.97</v>
      </c>
      <c r="O202" s="1">
        <f t="shared" si="12"/>
        <v>-5.3859220284213638E-4</v>
      </c>
      <c r="P202" s="1">
        <f t="shared" si="13"/>
        <v>1.0943458796219385E-2</v>
      </c>
      <c r="Q202" t="str">
        <f t="shared" si="14"/>
        <v>IDLE</v>
      </c>
      <c r="R202">
        <f t="shared" si="15"/>
        <v>0</v>
      </c>
    </row>
    <row r="203" spans="1:18" x14ac:dyDescent="0.2">
      <c r="A203" t="s">
        <v>14</v>
      </c>
      <c r="B203">
        <v>20231115</v>
      </c>
      <c r="C203">
        <v>100764.09</v>
      </c>
      <c r="D203">
        <v>100714.29</v>
      </c>
      <c r="E203">
        <v>1315</v>
      </c>
      <c r="F203">
        <v>1317</v>
      </c>
      <c r="G203" t="s">
        <v>214</v>
      </c>
      <c r="H203">
        <v>-49.800000000002903</v>
      </c>
      <c r="I203">
        <v>2</v>
      </c>
      <c r="J203" t="s">
        <v>15</v>
      </c>
      <c r="K203">
        <v>240.78</v>
      </c>
      <c r="L203">
        <v>240.54</v>
      </c>
      <c r="M203">
        <v>242.15</v>
      </c>
      <c r="N203">
        <v>241.14</v>
      </c>
      <c r="O203" s="1">
        <f t="shared" si="12"/>
        <v>-9.9676052828312489E-4</v>
      </c>
      <c r="P203" s="1">
        <f t="shared" si="13"/>
        <v>6.6932734680302808E-3</v>
      </c>
      <c r="Q203" t="str">
        <f t="shared" si="14"/>
        <v>IDLE</v>
      </c>
      <c r="R203">
        <f t="shared" si="15"/>
        <v>0</v>
      </c>
    </row>
    <row r="204" spans="1:18" x14ac:dyDescent="0.2">
      <c r="A204" t="s">
        <v>14</v>
      </c>
      <c r="B204">
        <v>20231115</v>
      </c>
      <c r="C204">
        <v>100714.29</v>
      </c>
      <c r="D204">
        <v>100688.87</v>
      </c>
      <c r="E204">
        <v>1321</v>
      </c>
      <c r="F204">
        <v>1323</v>
      </c>
      <c r="G204" t="s">
        <v>215</v>
      </c>
      <c r="H204">
        <v>-25.4199999999982</v>
      </c>
      <c r="I204">
        <v>2</v>
      </c>
      <c r="J204" t="s">
        <v>15</v>
      </c>
      <c r="K204">
        <v>240.74</v>
      </c>
      <c r="L204">
        <v>241.26</v>
      </c>
      <c r="M204">
        <v>241.52</v>
      </c>
      <c r="N204">
        <v>241.57</v>
      </c>
      <c r="O204" s="1">
        <f t="shared" si="12"/>
        <v>2.1600066461742173E-3</v>
      </c>
      <c r="P204" s="1">
        <f t="shared" si="13"/>
        <v>1.0776755367654101E-3</v>
      </c>
      <c r="Q204" t="str">
        <f t="shared" si="14"/>
        <v>SELL</v>
      </c>
      <c r="R204">
        <f t="shared" si="15"/>
        <v>-25.4199999999982</v>
      </c>
    </row>
    <row r="205" spans="1:18" x14ac:dyDescent="0.2">
      <c r="A205" t="s">
        <v>14</v>
      </c>
      <c r="B205">
        <v>20231115</v>
      </c>
      <c r="C205">
        <v>100688.87</v>
      </c>
      <c r="D205">
        <v>100670.83</v>
      </c>
      <c r="E205">
        <v>1327</v>
      </c>
      <c r="F205">
        <v>1329</v>
      </c>
      <c r="G205" t="s">
        <v>216</v>
      </c>
      <c r="H205">
        <v>-18.039999999993501</v>
      </c>
      <c r="I205">
        <v>2</v>
      </c>
      <c r="J205" t="s">
        <v>15</v>
      </c>
      <c r="K205">
        <v>240.92</v>
      </c>
      <c r="L205">
        <v>242.1</v>
      </c>
      <c r="M205">
        <v>242.11</v>
      </c>
      <c r="N205">
        <v>242.32</v>
      </c>
      <c r="O205" s="1">
        <f t="shared" si="12"/>
        <v>4.8978914162378651E-3</v>
      </c>
      <c r="P205" s="1">
        <f t="shared" si="13"/>
        <v>4.1305245766398713E-5</v>
      </c>
      <c r="Q205" t="str">
        <f t="shared" si="14"/>
        <v>SELL</v>
      </c>
      <c r="R205">
        <f t="shared" si="15"/>
        <v>-18.039999999993501</v>
      </c>
    </row>
    <row r="206" spans="1:18" x14ac:dyDescent="0.2">
      <c r="A206" t="s">
        <v>14</v>
      </c>
      <c r="B206">
        <v>20231116</v>
      </c>
      <c r="C206">
        <v>100670.83</v>
      </c>
      <c r="D206">
        <v>100770.43</v>
      </c>
      <c r="E206">
        <v>933</v>
      </c>
      <c r="F206">
        <v>939</v>
      </c>
      <c r="G206" t="s">
        <v>217</v>
      </c>
      <c r="H206">
        <v>99.599999999991198</v>
      </c>
      <c r="I206">
        <v>6</v>
      </c>
      <c r="J206" t="s">
        <v>15</v>
      </c>
      <c r="K206">
        <v>239.07</v>
      </c>
      <c r="L206">
        <v>240.4</v>
      </c>
      <c r="M206">
        <v>243.9</v>
      </c>
      <c r="N206">
        <v>239.2</v>
      </c>
      <c r="O206" s="1">
        <f t="shared" si="12"/>
        <v>5.5632241602878718E-3</v>
      </c>
      <c r="P206" s="1">
        <f t="shared" si="13"/>
        <v>1.455906821963393E-2</v>
      </c>
      <c r="Q206" t="str">
        <f t="shared" si="14"/>
        <v>SELL</v>
      </c>
      <c r="R206">
        <f t="shared" si="15"/>
        <v>99.599999999991198</v>
      </c>
    </row>
    <row r="207" spans="1:18" x14ac:dyDescent="0.2">
      <c r="A207" t="s">
        <v>14</v>
      </c>
      <c r="B207">
        <v>20231116</v>
      </c>
      <c r="C207">
        <v>100770.43</v>
      </c>
      <c r="D207">
        <v>100672.15</v>
      </c>
      <c r="E207">
        <v>943</v>
      </c>
      <c r="F207">
        <v>945</v>
      </c>
      <c r="G207" t="s">
        <v>218</v>
      </c>
      <c r="H207">
        <v>-98.279999999998793</v>
      </c>
      <c r="I207">
        <v>2</v>
      </c>
      <c r="J207" t="s">
        <v>15</v>
      </c>
      <c r="K207">
        <v>237.62</v>
      </c>
      <c r="L207">
        <v>237.75</v>
      </c>
      <c r="M207">
        <v>239.59</v>
      </c>
      <c r="N207">
        <v>238.92</v>
      </c>
      <c r="O207" s="1">
        <f t="shared" si="12"/>
        <v>5.4709199562319455E-4</v>
      </c>
      <c r="P207" s="1">
        <f t="shared" si="13"/>
        <v>7.7392218717140526E-3</v>
      </c>
      <c r="Q207" t="str">
        <f t="shared" si="14"/>
        <v>SELL</v>
      </c>
      <c r="R207">
        <f t="shared" si="15"/>
        <v>-98.279999999998793</v>
      </c>
    </row>
    <row r="208" spans="1:18" x14ac:dyDescent="0.2">
      <c r="A208" t="s">
        <v>14</v>
      </c>
      <c r="B208">
        <v>20231116</v>
      </c>
      <c r="C208">
        <v>100672.15</v>
      </c>
      <c r="D208">
        <v>100603.26</v>
      </c>
      <c r="E208">
        <v>949</v>
      </c>
      <c r="F208">
        <v>955</v>
      </c>
      <c r="G208" t="s">
        <v>219</v>
      </c>
      <c r="H208">
        <v>-68.889999999999404</v>
      </c>
      <c r="I208">
        <v>6</v>
      </c>
      <c r="J208" t="s">
        <v>15</v>
      </c>
      <c r="K208">
        <v>237.51</v>
      </c>
      <c r="L208">
        <v>239.53</v>
      </c>
      <c r="M208">
        <v>239.7</v>
      </c>
      <c r="N208">
        <v>240.36</v>
      </c>
      <c r="O208" s="1">
        <f t="shared" si="12"/>
        <v>8.5049050566292639E-3</v>
      </c>
      <c r="P208" s="1">
        <f t="shared" si="13"/>
        <v>7.0972320794893129E-4</v>
      </c>
      <c r="Q208" t="str">
        <f t="shared" si="14"/>
        <v>SELL</v>
      </c>
      <c r="R208">
        <f t="shared" si="15"/>
        <v>-68.889999999999404</v>
      </c>
    </row>
    <row r="209" spans="1:18" x14ac:dyDescent="0.2">
      <c r="A209" t="s">
        <v>14</v>
      </c>
      <c r="B209">
        <v>20231116</v>
      </c>
      <c r="C209">
        <v>100603.26</v>
      </c>
      <c r="D209">
        <v>100673.82</v>
      </c>
      <c r="E209">
        <v>1011</v>
      </c>
      <c r="F209">
        <v>1021</v>
      </c>
      <c r="G209" t="s">
        <v>220</v>
      </c>
      <c r="H209">
        <v>70.560000000012195</v>
      </c>
      <c r="I209">
        <v>10</v>
      </c>
      <c r="J209" t="s">
        <v>15</v>
      </c>
      <c r="K209">
        <v>237.75</v>
      </c>
      <c r="L209">
        <v>238.08</v>
      </c>
      <c r="M209">
        <v>240.07</v>
      </c>
      <c r="N209">
        <v>237.24</v>
      </c>
      <c r="O209" s="1">
        <f t="shared" si="12"/>
        <v>1.3880126182965746E-3</v>
      </c>
      <c r="P209" s="1">
        <f t="shared" si="13"/>
        <v>8.3585349462365066E-3</v>
      </c>
      <c r="Q209" t="str">
        <f t="shared" si="14"/>
        <v>SELL</v>
      </c>
      <c r="R209">
        <f t="shared" si="15"/>
        <v>70.560000000012195</v>
      </c>
    </row>
    <row r="210" spans="1:18" x14ac:dyDescent="0.2">
      <c r="A210" t="s">
        <v>14</v>
      </c>
      <c r="B210">
        <v>20231116</v>
      </c>
      <c r="C210">
        <v>100673.82</v>
      </c>
      <c r="D210">
        <v>100656.18</v>
      </c>
      <c r="E210">
        <v>1025</v>
      </c>
      <c r="F210">
        <v>1028</v>
      </c>
      <c r="G210" t="s">
        <v>221</v>
      </c>
      <c r="H210">
        <v>-17.640000000013899</v>
      </c>
      <c r="I210">
        <v>3</v>
      </c>
      <c r="J210" t="s">
        <v>15</v>
      </c>
      <c r="K210">
        <v>236.27</v>
      </c>
      <c r="L210">
        <v>237.43</v>
      </c>
      <c r="M210">
        <v>237.9</v>
      </c>
      <c r="N210">
        <v>237.64</v>
      </c>
      <c r="O210" s="1">
        <f t="shared" si="12"/>
        <v>4.9096372793837606E-3</v>
      </c>
      <c r="P210" s="1">
        <f t="shared" si="13"/>
        <v>1.9795308090806429E-3</v>
      </c>
      <c r="Q210" t="str">
        <f t="shared" si="14"/>
        <v>SELL</v>
      </c>
      <c r="R210">
        <f t="shared" si="15"/>
        <v>-17.640000000013899</v>
      </c>
    </row>
    <row r="211" spans="1:18" x14ac:dyDescent="0.2">
      <c r="A211" t="s">
        <v>14</v>
      </c>
      <c r="B211">
        <v>20231116</v>
      </c>
      <c r="C211">
        <v>100656.18</v>
      </c>
      <c r="D211">
        <v>100806.54</v>
      </c>
      <c r="E211">
        <v>1032</v>
      </c>
      <c r="F211">
        <v>1043</v>
      </c>
      <c r="G211" t="s">
        <v>222</v>
      </c>
      <c r="H211">
        <v>150.36000000000001</v>
      </c>
      <c r="I211">
        <v>11</v>
      </c>
      <c r="J211" t="s">
        <v>15</v>
      </c>
      <c r="K211">
        <v>236.87</v>
      </c>
      <c r="L211">
        <v>237.35</v>
      </c>
      <c r="M211">
        <v>237.64</v>
      </c>
      <c r="N211">
        <v>235.56</v>
      </c>
      <c r="O211" s="1">
        <f t="shared" si="12"/>
        <v>2.0264279984800737E-3</v>
      </c>
      <c r="P211" s="1">
        <f t="shared" si="13"/>
        <v>1.2218243100905468E-3</v>
      </c>
      <c r="Q211" t="str">
        <f t="shared" si="14"/>
        <v>SELL</v>
      </c>
      <c r="R211">
        <f t="shared" si="15"/>
        <v>150.36000000000001</v>
      </c>
    </row>
    <row r="212" spans="1:18" x14ac:dyDescent="0.2">
      <c r="A212" t="s">
        <v>14</v>
      </c>
      <c r="B212">
        <v>20231116</v>
      </c>
      <c r="C212">
        <v>100806.54</v>
      </c>
      <c r="D212">
        <v>100870.38</v>
      </c>
      <c r="E212">
        <v>1047</v>
      </c>
      <c r="F212">
        <v>1057</v>
      </c>
      <c r="G212" t="s">
        <v>223</v>
      </c>
      <c r="H212">
        <v>63.840000000011003</v>
      </c>
      <c r="I212">
        <v>10</v>
      </c>
      <c r="J212" t="s">
        <v>15</v>
      </c>
      <c r="K212">
        <v>235.11</v>
      </c>
      <c r="L212">
        <v>235.92</v>
      </c>
      <c r="M212">
        <v>236.03</v>
      </c>
      <c r="N212">
        <v>235.16</v>
      </c>
      <c r="O212" s="1">
        <f t="shared" si="12"/>
        <v>3.4451958657648607E-3</v>
      </c>
      <c r="P212" s="1">
        <f t="shared" si="13"/>
        <v>4.6625974906744361E-4</v>
      </c>
      <c r="Q212" t="str">
        <f t="shared" si="14"/>
        <v>SELL</v>
      </c>
      <c r="R212">
        <f t="shared" si="15"/>
        <v>63.840000000011003</v>
      </c>
    </row>
    <row r="213" spans="1:18" x14ac:dyDescent="0.2">
      <c r="A213" t="s">
        <v>14</v>
      </c>
      <c r="B213">
        <v>20231116</v>
      </c>
      <c r="C213">
        <v>100870.38</v>
      </c>
      <c r="D213">
        <v>100841.82</v>
      </c>
      <c r="E213">
        <v>1101</v>
      </c>
      <c r="F213">
        <v>1102</v>
      </c>
      <c r="G213" t="s">
        <v>224</v>
      </c>
      <c r="H213">
        <v>-28.559999999997601</v>
      </c>
      <c r="I213">
        <v>1</v>
      </c>
      <c r="J213" t="s">
        <v>15</v>
      </c>
      <c r="K213">
        <v>234.5</v>
      </c>
      <c r="L213">
        <v>235.3</v>
      </c>
      <c r="M213">
        <v>235.36</v>
      </c>
      <c r="N213">
        <v>235.64</v>
      </c>
      <c r="O213" s="1">
        <f t="shared" si="12"/>
        <v>3.4115138592751837E-3</v>
      </c>
      <c r="P213" s="1">
        <f t="shared" si="13"/>
        <v>2.5499362515946089E-4</v>
      </c>
      <c r="Q213" t="str">
        <f t="shared" si="14"/>
        <v>SELL</v>
      </c>
      <c r="R213">
        <f t="shared" si="15"/>
        <v>-28.559999999997601</v>
      </c>
    </row>
    <row r="214" spans="1:18" x14ac:dyDescent="0.2">
      <c r="A214" t="s">
        <v>14</v>
      </c>
      <c r="B214">
        <v>20231116</v>
      </c>
      <c r="C214">
        <v>100841.82</v>
      </c>
      <c r="D214">
        <v>100793.94</v>
      </c>
      <c r="E214">
        <v>1129</v>
      </c>
      <c r="F214">
        <v>1131</v>
      </c>
      <c r="G214" t="s">
        <v>225</v>
      </c>
      <c r="H214">
        <v>-47.8800000000046</v>
      </c>
      <c r="I214">
        <v>2</v>
      </c>
      <c r="J214" t="s">
        <v>15</v>
      </c>
      <c r="K214">
        <v>235.58</v>
      </c>
      <c r="L214">
        <v>235.58</v>
      </c>
      <c r="M214">
        <v>237</v>
      </c>
      <c r="N214">
        <v>236.15</v>
      </c>
      <c r="O214" s="1">
        <f t="shared" si="12"/>
        <v>0</v>
      </c>
      <c r="P214" s="1">
        <f t="shared" si="13"/>
        <v>6.0276763732065586E-3</v>
      </c>
      <c r="Q214" t="str">
        <f t="shared" si="14"/>
        <v>IDLE</v>
      </c>
      <c r="R214">
        <f t="shared" si="15"/>
        <v>0</v>
      </c>
    </row>
    <row r="215" spans="1:18" x14ac:dyDescent="0.2">
      <c r="A215" t="s">
        <v>14</v>
      </c>
      <c r="B215">
        <v>20231116</v>
      </c>
      <c r="C215">
        <v>100793.94</v>
      </c>
      <c r="D215">
        <v>100832.58</v>
      </c>
      <c r="E215">
        <v>1135</v>
      </c>
      <c r="F215">
        <v>1145</v>
      </c>
      <c r="G215" t="s">
        <v>226</v>
      </c>
      <c r="H215">
        <v>38.639999999999397</v>
      </c>
      <c r="I215">
        <v>10</v>
      </c>
      <c r="J215" t="s">
        <v>15</v>
      </c>
      <c r="K215">
        <v>235.55</v>
      </c>
      <c r="L215">
        <v>235.66</v>
      </c>
      <c r="M215">
        <v>236.29</v>
      </c>
      <c r="N215">
        <v>235.2</v>
      </c>
      <c r="O215" s="1">
        <f t="shared" si="12"/>
        <v>4.6699214604117856E-4</v>
      </c>
      <c r="P215" s="1">
        <f t="shared" si="13"/>
        <v>2.6733429517100671E-3</v>
      </c>
      <c r="Q215" t="str">
        <f t="shared" si="14"/>
        <v>SELL</v>
      </c>
      <c r="R215">
        <f t="shared" si="15"/>
        <v>38.639999999999397</v>
      </c>
    </row>
    <row r="216" spans="1:18" x14ac:dyDescent="0.2">
      <c r="A216" t="s">
        <v>14</v>
      </c>
      <c r="B216">
        <v>20231116</v>
      </c>
      <c r="C216">
        <v>100832.58</v>
      </c>
      <c r="D216">
        <v>100804.02</v>
      </c>
      <c r="E216">
        <v>1149</v>
      </c>
      <c r="F216">
        <v>1150</v>
      </c>
      <c r="G216" t="s">
        <v>227</v>
      </c>
      <c r="H216">
        <v>-28.559999999997601</v>
      </c>
      <c r="I216">
        <v>1</v>
      </c>
      <c r="J216" t="s">
        <v>15</v>
      </c>
      <c r="K216">
        <v>234.71</v>
      </c>
      <c r="L216">
        <v>235.67</v>
      </c>
      <c r="M216">
        <v>235.71</v>
      </c>
      <c r="N216">
        <v>236.01</v>
      </c>
      <c r="O216" s="1">
        <f t="shared" si="12"/>
        <v>4.0901538068254251E-3</v>
      </c>
      <c r="P216" s="1">
        <f t="shared" si="13"/>
        <v>1.6972885814925398E-4</v>
      </c>
      <c r="Q216" t="str">
        <f t="shared" si="14"/>
        <v>SELL</v>
      </c>
      <c r="R216">
        <f t="shared" si="15"/>
        <v>-28.559999999997601</v>
      </c>
    </row>
    <row r="217" spans="1:18" x14ac:dyDescent="0.2">
      <c r="A217" t="s">
        <v>14</v>
      </c>
      <c r="B217">
        <v>20231116</v>
      </c>
      <c r="C217">
        <v>100804.02</v>
      </c>
      <c r="D217">
        <v>100800.66</v>
      </c>
      <c r="E217">
        <v>1203</v>
      </c>
      <c r="F217">
        <v>1211</v>
      </c>
      <c r="G217" t="s">
        <v>228</v>
      </c>
      <c r="H217">
        <v>-3.3600000000005799</v>
      </c>
      <c r="I217">
        <v>8</v>
      </c>
      <c r="J217" t="s">
        <v>15</v>
      </c>
      <c r="K217">
        <v>235.04</v>
      </c>
      <c r="L217">
        <v>235.41</v>
      </c>
      <c r="M217">
        <v>235.75</v>
      </c>
      <c r="N217">
        <v>235.45</v>
      </c>
      <c r="O217" s="1">
        <f t="shared" si="12"/>
        <v>1.5742001361469526E-3</v>
      </c>
      <c r="P217" s="1">
        <f t="shared" si="13"/>
        <v>1.4442886878212047E-3</v>
      </c>
      <c r="Q217" t="str">
        <f t="shared" si="14"/>
        <v>SELL</v>
      </c>
      <c r="R217">
        <f t="shared" si="15"/>
        <v>-3.3600000000005799</v>
      </c>
    </row>
    <row r="218" spans="1:18" x14ac:dyDescent="0.2">
      <c r="A218" t="s">
        <v>14</v>
      </c>
      <c r="B218">
        <v>20231116</v>
      </c>
      <c r="C218">
        <v>100800.66</v>
      </c>
      <c r="D218">
        <v>100783.86</v>
      </c>
      <c r="E218">
        <v>1215</v>
      </c>
      <c r="F218">
        <v>1216</v>
      </c>
      <c r="G218" t="s">
        <v>229</v>
      </c>
      <c r="H218">
        <v>-16.8000000000029</v>
      </c>
      <c r="I218">
        <v>1</v>
      </c>
      <c r="J218" t="s">
        <v>15</v>
      </c>
      <c r="K218">
        <v>234.74</v>
      </c>
      <c r="L218">
        <v>236.05</v>
      </c>
      <c r="M218">
        <v>235.91</v>
      </c>
      <c r="N218">
        <v>236.25</v>
      </c>
      <c r="O218" s="1">
        <f t="shared" si="12"/>
        <v>5.580642412882364E-3</v>
      </c>
      <c r="P218" s="1">
        <f t="shared" si="13"/>
        <v>-5.9309468332990889E-4</v>
      </c>
      <c r="Q218" t="str">
        <f t="shared" si="14"/>
        <v>SELL</v>
      </c>
      <c r="R218">
        <f t="shared" si="15"/>
        <v>-16.8000000000029</v>
      </c>
    </row>
    <row r="219" spans="1:18" x14ac:dyDescent="0.2">
      <c r="A219" t="s">
        <v>14</v>
      </c>
      <c r="B219">
        <v>20231116</v>
      </c>
      <c r="C219">
        <v>100783.86</v>
      </c>
      <c r="D219">
        <v>100754.46</v>
      </c>
      <c r="E219">
        <v>1238</v>
      </c>
      <c r="F219">
        <v>1239</v>
      </c>
      <c r="G219" t="s">
        <v>230</v>
      </c>
      <c r="H219">
        <v>-29.399999999994101</v>
      </c>
      <c r="I219">
        <v>1</v>
      </c>
      <c r="J219" t="s">
        <v>15</v>
      </c>
      <c r="K219">
        <v>235.03</v>
      </c>
      <c r="L219">
        <v>235.48</v>
      </c>
      <c r="M219">
        <v>235.73</v>
      </c>
      <c r="N219">
        <v>235.83</v>
      </c>
      <c r="O219" s="1">
        <f t="shared" si="12"/>
        <v>1.914649193719864E-3</v>
      </c>
      <c r="P219" s="1">
        <f t="shared" si="13"/>
        <v>1.0616612875828935E-3</v>
      </c>
      <c r="Q219" t="str">
        <f t="shared" si="14"/>
        <v>SELL</v>
      </c>
      <c r="R219">
        <f t="shared" si="15"/>
        <v>-29.399999999994101</v>
      </c>
    </row>
    <row r="220" spans="1:18" x14ac:dyDescent="0.2">
      <c r="A220" t="s">
        <v>14</v>
      </c>
      <c r="B220">
        <v>20231116</v>
      </c>
      <c r="C220">
        <v>100754.46</v>
      </c>
      <c r="D220">
        <v>101005.21</v>
      </c>
      <c r="E220">
        <v>1308</v>
      </c>
      <c r="F220">
        <v>1351</v>
      </c>
      <c r="G220" t="s">
        <v>231</v>
      </c>
      <c r="H220">
        <v>250.75</v>
      </c>
      <c r="I220">
        <v>43</v>
      </c>
      <c r="J220" t="s">
        <v>15</v>
      </c>
      <c r="K220">
        <v>235.23</v>
      </c>
      <c r="L220">
        <v>235.24</v>
      </c>
      <c r="M220">
        <v>236.46</v>
      </c>
      <c r="N220">
        <v>232.29</v>
      </c>
      <c r="O220" s="1">
        <f t="shared" si="12"/>
        <v>4.2511584406934588E-5</v>
      </c>
      <c r="P220" s="1">
        <f t="shared" si="13"/>
        <v>5.1861928243495115E-3</v>
      </c>
      <c r="Q220" t="str">
        <f t="shared" si="14"/>
        <v>IDLE</v>
      </c>
      <c r="R220">
        <f t="shared" si="15"/>
        <v>0</v>
      </c>
    </row>
    <row r="221" spans="1:18" x14ac:dyDescent="0.2">
      <c r="A221" t="s">
        <v>14</v>
      </c>
      <c r="B221">
        <v>20231116</v>
      </c>
      <c r="C221">
        <v>101005.21</v>
      </c>
      <c r="D221">
        <v>101038.75</v>
      </c>
      <c r="E221">
        <v>1355</v>
      </c>
      <c r="F221">
        <v>1411</v>
      </c>
      <c r="G221" t="s">
        <v>232</v>
      </c>
      <c r="H221">
        <v>33.539999999993597</v>
      </c>
      <c r="I221">
        <v>16</v>
      </c>
      <c r="J221" t="s">
        <v>15</v>
      </c>
      <c r="K221">
        <v>231.81</v>
      </c>
      <c r="L221">
        <v>232.07</v>
      </c>
      <c r="M221">
        <v>232.68</v>
      </c>
      <c r="N221">
        <v>231.68</v>
      </c>
      <c r="O221" s="1">
        <f t="shared" si="12"/>
        <v>1.1216082136231709E-3</v>
      </c>
      <c r="P221" s="1">
        <f t="shared" si="13"/>
        <v>2.6285172577240612E-3</v>
      </c>
      <c r="Q221" t="str">
        <f t="shared" si="14"/>
        <v>SELL</v>
      </c>
      <c r="R221">
        <f t="shared" si="15"/>
        <v>33.539999999993597</v>
      </c>
    </row>
    <row r="222" spans="1:18" x14ac:dyDescent="0.2">
      <c r="A222" t="s">
        <v>14</v>
      </c>
      <c r="B222">
        <v>20231116</v>
      </c>
      <c r="C222">
        <v>101038.75</v>
      </c>
      <c r="D222">
        <v>101005.21</v>
      </c>
      <c r="E222">
        <v>1415</v>
      </c>
      <c r="F222">
        <v>1418</v>
      </c>
      <c r="G222" t="s">
        <v>233</v>
      </c>
      <c r="H222">
        <v>-33.539999999993597</v>
      </c>
      <c r="I222">
        <v>3</v>
      </c>
      <c r="J222" t="s">
        <v>15</v>
      </c>
      <c r="K222">
        <v>230.97</v>
      </c>
      <c r="L222">
        <v>232.05</v>
      </c>
      <c r="M222">
        <v>232.13</v>
      </c>
      <c r="N222">
        <v>232.44</v>
      </c>
      <c r="O222" s="1">
        <f t="shared" si="12"/>
        <v>4.6759319392128962E-3</v>
      </c>
      <c r="P222" s="1">
        <f t="shared" si="13"/>
        <v>3.4475328592975529E-4</v>
      </c>
      <c r="Q222" t="str">
        <f t="shared" si="14"/>
        <v>SELL</v>
      </c>
      <c r="R222">
        <f t="shared" si="15"/>
        <v>-33.539999999993597</v>
      </c>
    </row>
    <row r="223" spans="1:18" x14ac:dyDescent="0.2">
      <c r="A223" t="s">
        <v>14</v>
      </c>
      <c r="B223">
        <v>20231117</v>
      </c>
      <c r="C223">
        <v>101005.21</v>
      </c>
      <c r="D223">
        <v>101195.74</v>
      </c>
      <c r="E223">
        <v>933</v>
      </c>
      <c r="F223">
        <v>944</v>
      </c>
      <c r="G223" t="s">
        <v>234</v>
      </c>
      <c r="H223">
        <v>190.52999999999801</v>
      </c>
      <c r="I223">
        <v>11</v>
      </c>
      <c r="J223" t="s">
        <v>15</v>
      </c>
      <c r="K223">
        <v>229.33</v>
      </c>
      <c r="L223">
        <v>229.59</v>
      </c>
      <c r="M223">
        <v>234.65</v>
      </c>
      <c r="N223">
        <v>227.4</v>
      </c>
      <c r="O223" s="1">
        <f t="shared" si="12"/>
        <v>1.1337374089739338E-3</v>
      </c>
      <c r="P223" s="1">
        <f t="shared" si="13"/>
        <v>2.2039287425410503E-2</v>
      </c>
      <c r="Q223" t="str">
        <f t="shared" si="14"/>
        <v>SELL</v>
      </c>
      <c r="R223">
        <f t="shared" si="15"/>
        <v>190.52999999999801</v>
      </c>
    </row>
    <row r="224" spans="1:18" x14ac:dyDescent="0.2">
      <c r="A224" t="s">
        <v>14</v>
      </c>
      <c r="B224">
        <v>20231117</v>
      </c>
      <c r="C224">
        <v>101195.74</v>
      </c>
      <c r="D224">
        <v>101150.86</v>
      </c>
      <c r="E224">
        <v>948</v>
      </c>
      <c r="F224">
        <v>950</v>
      </c>
      <c r="G224" t="s">
        <v>235</v>
      </c>
      <c r="H224">
        <v>-44.8800000000046</v>
      </c>
      <c r="I224">
        <v>2</v>
      </c>
      <c r="J224" t="s">
        <v>15</v>
      </c>
      <c r="K224">
        <v>226.81</v>
      </c>
      <c r="L224">
        <v>227.03</v>
      </c>
      <c r="M224">
        <v>228.24</v>
      </c>
      <c r="N224">
        <v>227.54</v>
      </c>
      <c r="O224" s="1">
        <f t="shared" si="12"/>
        <v>9.6997486883299011E-4</v>
      </c>
      <c r="P224" s="1">
        <f t="shared" si="13"/>
        <v>5.3296921111747331E-3</v>
      </c>
      <c r="Q224" t="str">
        <f t="shared" si="14"/>
        <v>SELL</v>
      </c>
      <c r="R224">
        <f t="shared" si="15"/>
        <v>-44.8800000000046</v>
      </c>
    </row>
    <row r="225" spans="1:18" x14ac:dyDescent="0.2">
      <c r="A225" t="s">
        <v>14</v>
      </c>
      <c r="B225">
        <v>20231117</v>
      </c>
      <c r="C225">
        <v>101150.86</v>
      </c>
      <c r="D225">
        <v>101126.5</v>
      </c>
      <c r="E225">
        <v>954</v>
      </c>
      <c r="F225">
        <v>955</v>
      </c>
      <c r="G225" t="s">
        <v>236</v>
      </c>
      <c r="H225">
        <v>-24.3600000000005</v>
      </c>
      <c r="I225">
        <v>1</v>
      </c>
      <c r="J225" t="s">
        <v>15</v>
      </c>
      <c r="K225">
        <v>226.87</v>
      </c>
      <c r="L225">
        <v>229.16</v>
      </c>
      <c r="M225">
        <v>228.95</v>
      </c>
      <c r="N225">
        <v>229.44</v>
      </c>
      <c r="O225" s="1">
        <f t="shared" si="12"/>
        <v>1.0093886366641547E-2</v>
      </c>
      <c r="P225" s="1">
        <f t="shared" si="13"/>
        <v>-9.1639029499046565E-4</v>
      </c>
      <c r="Q225" t="str">
        <f t="shared" si="14"/>
        <v>SELL</v>
      </c>
      <c r="R225">
        <f t="shared" si="15"/>
        <v>-24.3600000000005</v>
      </c>
    </row>
    <row r="226" spans="1:18" x14ac:dyDescent="0.2">
      <c r="A226" t="s">
        <v>14</v>
      </c>
      <c r="B226">
        <v>20231117</v>
      </c>
      <c r="C226">
        <v>101126.5</v>
      </c>
      <c r="D226">
        <v>101201.3</v>
      </c>
      <c r="E226">
        <v>1049</v>
      </c>
      <c r="F226">
        <v>1104</v>
      </c>
      <c r="G226" t="s">
        <v>237</v>
      </c>
      <c r="H226">
        <v>74.800000000002896</v>
      </c>
      <c r="I226">
        <v>15</v>
      </c>
      <c r="J226" t="s">
        <v>16</v>
      </c>
      <c r="K226">
        <v>231.17</v>
      </c>
      <c r="L226">
        <v>233.37</v>
      </c>
      <c r="M226">
        <v>233.14</v>
      </c>
      <c r="N226">
        <v>234.25</v>
      </c>
      <c r="O226" s="1">
        <f t="shared" si="12"/>
        <v>9.5168058139032397E-3</v>
      </c>
      <c r="P226" s="1">
        <f t="shared" si="13"/>
        <v>-9.8555941209244047E-4</v>
      </c>
      <c r="Q226" t="str">
        <f t="shared" si="14"/>
        <v>IDLE</v>
      </c>
      <c r="R226">
        <f t="shared" si="15"/>
        <v>0</v>
      </c>
    </row>
    <row r="227" spans="1:18" x14ac:dyDescent="0.2">
      <c r="A227" t="s">
        <v>14</v>
      </c>
      <c r="B227">
        <v>20231117</v>
      </c>
      <c r="C227">
        <v>101201.3</v>
      </c>
      <c r="D227">
        <v>101182.82</v>
      </c>
      <c r="E227">
        <v>1116</v>
      </c>
      <c r="F227">
        <v>1117</v>
      </c>
      <c r="G227" t="s">
        <v>238</v>
      </c>
      <c r="H227">
        <v>-18.479999999995901</v>
      </c>
      <c r="I227">
        <v>1</v>
      </c>
      <c r="J227" t="s">
        <v>16</v>
      </c>
      <c r="K227">
        <v>234</v>
      </c>
      <c r="L227">
        <v>235.52</v>
      </c>
      <c r="M227">
        <v>235.96</v>
      </c>
      <c r="N227">
        <v>235.3</v>
      </c>
      <c r="O227" s="1">
        <f t="shared" si="12"/>
        <v>6.4957264957266059E-3</v>
      </c>
      <c r="P227" s="1">
        <f t="shared" si="13"/>
        <v>1.8682065217390242E-3</v>
      </c>
      <c r="Q227" t="str">
        <f t="shared" si="14"/>
        <v>IDLE</v>
      </c>
      <c r="R227">
        <f t="shared" si="15"/>
        <v>0</v>
      </c>
    </row>
    <row r="228" spans="1:18" x14ac:dyDescent="0.2">
      <c r="A228" t="s">
        <v>14</v>
      </c>
      <c r="B228">
        <v>20231117</v>
      </c>
      <c r="C228">
        <v>101182.82</v>
      </c>
      <c r="D228">
        <v>101172.62</v>
      </c>
      <c r="E228">
        <v>1121</v>
      </c>
      <c r="F228">
        <v>1122</v>
      </c>
      <c r="G228" t="s">
        <v>239</v>
      </c>
      <c r="H228">
        <v>-10.200000000011601</v>
      </c>
      <c r="I228">
        <v>1</v>
      </c>
      <c r="J228" t="s">
        <v>16</v>
      </c>
      <c r="K228">
        <v>235.15</v>
      </c>
      <c r="L228">
        <v>235.18</v>
      </c>
      <c r="M228">
        <v>235.79</v>
      </c>
      <c r="N228">
        <v>235.06</v>
      </c>
      <c r="O228" s="1">
        <f t="shared" si="12"/>
        <v>1.275781416116839E-4</v>
      </c>
      <c r="P228" s="1">
        <f t="shared" si="13"/>
        <v>2.5937579726167392E-3</v>
      </c>
      <c r="Q228" t="str">
        <f t="shared" si="14"/>
        <v>IDLE</v>
      </c>
      <c r="R228">
        <f t="shared" si="15"/>
        <v>0</v>
      </c>
    </row>
    <row r="229" spans="1:18" x14ac:dyDescent="0.2">
      <c r="A229" t="s">
        <v>14</v>
      </c>
      <c r="B229">
        <v>20231117</v>
      </c>
      <c r="C229">
        <v>101172.62</v>
      </c>
      <c r="D229">
        <v>101133.14</v>
      </c>
      <c r="E229">
        <v>1126</v>
      </c>
      <c r="F229">
        <v>1137</v>
      </c>
      <c r="G229" t="s">
        <v>240</v>
      </c>
      <c r="H229">
        <v>-39.479999999995897</v>
      </c>
      <c r="I229">
        <v>11</v>
      </c>
      <c r="J229" t="s">
        <v>16</v>
      </c>
      <c r="K229">
        <v>235</v>
      </c>
      <c r="L229">
        <v>235.92</v>
      </c>
      <c r="M229">
        <v>235.73</v>
      </c>
      <c r="N229">
        <v>235.45</v>
      </c>
      <c r="O229" s="1">
        <f t="shared" si="12"/>
        <v>3.9148936170212423E-3</v>
      </c>
      <c r="P229" s="1">
        <f t="shared" si="13"/>
        <v>-8.0535774838930152E-4</v>
      </c>
      <c r="Q229" t="str">
        <f t="shared" si="14"/>
        <v>IDLE</v>
      </c>
      <c r="R229">
        <f t="shared" si="15"/>
        <v>0</v>
      </c>
    </row>
    <row r="230" spans="1:18" x14ac:dyDescent="0.2">
      <c r="A230" t="s">
        <v>14</v>
      </c>
      <c r="B230">
        <v>20231117</v>
      </c>
      <c r="C230">
        <v>101133.14</v>
      </c>
      <c r="D230">
        <v>101102.06</v>
      </c>
      <c r="E230">
        <v>1141</v>
      </c>
      <c r="F230">
        <v>1143</v>
      </c>
      <c r="G230" t="s">
        <v>241</v>
      </c>
      <c r="H230">
        <v>-31.0800000000017</v>
      </c>
      <c r="I230">
        <v>2</v>
      </c>
      <c r="J230" t="s">
        <v>16</v>
      </c>
      <c r="K230">
        <v>235.43</v>
      </c>
      <c r="L230">
        <v>235.52</v>
      </c>
      <c r="M230">
        <v>235.94</v>
      </c>
      <c r="N230">
        <v>235.15</v>
      </c>
      <c r="O230" s="1">
        <f t="shared" si="12"/>
        <v>3.822792337424552E-4</v>
      </c>
      <c r="P230" s="1">
        <f t="shared" si="13"/>
        <v>1.7832880434782705E-3</v>
      </c>
      <c r="Q230" t="str">
        <f t="shared" si="14"/>
        <v>IDLE</v>
      </c>
      <c r="R230">
        <f t="shared" si="15"/>
        <v>0</v>
      </c>
    </row>
    <row r="231" spans="1:18" x14ac:dyDescent="0.2">
      <c r="A231" t="s">
        <v>14</v>
      </c>
      <c r="B231">
        <v>20231117</v>
      </c>
      <c r="C231">
        <v>101102.06</v>
      </c>
      <c r="D231">
        <v>101058.71</v>
      </c>
      <c r="E231">
        <v>1147</v>
      </c>
      <c r="F231">
        <v>1149</v>
      </c>
      <c r="G231" t="s">
        <v>242</v>
      </c>
      <c r="H231">
        <v>-43.349999999991198</v>
      </c>
      <c r="I231">
        <v>2</v>
      </c>
      <c r="J231" t="s">
        <v>16</v>
      </c>
      <c r="K231">
        <v>234.91</v>
      </c>
      <c r="L231">
        <v>235.06</v>
      </c>
      <c r="M231">
        <v>235.78</v>
      </c>
      <c r="N231">
        <v>234.55</v>
      </c>
      <c r="O231" s="1">
        <f t="shared" si="12"/>
        <v>6.385424205015422E-4</v>
      </c>
      <c r="P231" s="1">
        <f t="shared" si="13"/>
        <v>3.0630477324937733E-3</v>
      </c>
      <c r="Q231" t="str">
        <f t="shared" si="14"/>
        <v>IDLE</v>
      </c>
      <c r="R231">
        <f t="shared" si="15"/>
        <v>0</v>
      </c>
    </row>
    <row r="232" spans="1:18" x14ac:dyDescent="0.2">
      <c r="A232" t="s">
        <v>14</v>
      </c>
      <c r="B232">
        <v>20231117</v>
      </c>
      <c r="C232">
        <v>101058.71</v>
      </c>
      <c r="D232">
        <v>101044.26</v>
      </c>
      <c r="E232">
        <v>1220</v>
      </c>
      <c r="F232">
        <v>1221</v>
      </c>
      <c r="G232" t="s">
        <v>243</v>
      </c>
      <c r="H232">
        <v>-14.450000000011601</v>
      </c>
      <c r="I232">
        <v>1</v>
      </c>
      <c r="J232" t="s">
        <v>16</v>
      </c>
      <c r="K232">
        <v>234.78</v>
      </c>
      <c r="L232">
        <v>235.1</v>
      </c>
      <c r="M232">
        <v>235.5</v>
      </c>
      <c r="N232">
        <v>234.93</v>
      </c>
      <c r="O232" s="1">
        <f t="shared" si="12"/>
        <v>1.3629781071640146E-3</v>
      </c>
      <c r="P232" s="1">
        <f t="shared" si="13"/>
        <v>1.7014036580178526E-3</v>
      </c>
      <c r="Q232" t="str">
        <f t="shared" si="14"/>
        <v>IDLE</v>
      </c>
      <c r="R232">
        <f t="shared" si="15"/>
        <v>0</v>
      </c>
    </row>
    <row r="233" spans="1:18" x14ac:dyDescent="0.2">
      <c r="A233" t="s">
        <v>14</v>
      </c>
      <c r="B233">
        <v>20231117</v>
      </c>
      <c r="C233">
        <v>101044.26</v>
      </c>
      <c r="D233">
        <v>101041.71</v>
      </c>
      <c r="E233">
        <v>1225</v>
      </c>
      <c r="F233">
        <v>1226</v>
      </c>
      <c r="G233" t="s">
        <v>244</v>
      </c>
      <c r="H233">
        <v>-2.54999999998835</v>
      </c>
      <c r="I233">
        <v>1</v>
      </c>
      <c r="J233" t="s">
        <v>16</v>
      </c>
      <c r="K233">
        <v>234.58</v>
      </c>
      <c r="L233">
        <v>234.45</v>
      </c>
      <c r="M233">
        <v>235.53</v>
      </c>
      <c r="N233">
        <v>234.42</v>
      </c>
      <c r="O233" s="1">
        <f t="shared" si="12"/>
        <v>-5.5418194219469807E-4</v>
      </c>
      <c r="P233" s="1">
        <f t="shared" si="13"/>
        <v>4.6065259117082924E-3</v>
      </c>
      <c r="Q233" t="str">
        <f t="shared" si="14"/>
        <v>BUY</v>
      </c>
      <c r="R233">
        <f t="shared" si="15"/>
        <v>-2.54999999998835</v>
      </c>
    </row>
    <row r="234" spans="1:18" x14ac:dyDescent="0.2">
      <c r="A234" t="s">
        <v>14</v>
      </c>
      <c r="B234">
        <v>20231117</v>
      </c>
      <c r="C234">
        <v>101041.71</v>
      </c>
      <c r="D234">
        <v>101020.71</v>
      </c>
      <c r="E234">
        <v>1245</v>
      </c>
      <c r="F234">
        <v>1246</v>
      </c>
      <c r="G234" t="s">
        <v>245</v>
      </c>
      <c r="H234">
        <v>-21</v>
      </c>
      <c r="I234">
        <v>1</v>
      </c>
      <c r="J234" t="s">
        <v>16</v>
      </c>
      <c r="K234">
        <v>234.6</v>
      </c>
      <c r="L234">
        <v>235.32</v>
      </c>
      <c r="M234">
        <v>235.57</v>
      </c>
      <c r="N234">
        <v>235.07</v>
      </c>
      <c r="O234" s="1">
        <f t="shared" si="12"/>
        <v>3.0690537084399061E-3</v>
      </c>
      <c r="P234" s="1">
        <f t="shared" si="13"/>
        <v>1.0623831378548942E-3</v>
      </c>
      <c r="Q234" t="str">
        <f t="shared" si="14"/>
        <v>IDLE</v>
      </c>
      <c r="R234">
        <f t="shared" si="15"/>
        <v>0</v>
      </c>
    </row>
    <row r="235" spans="1:18" x14ac:dyDescent="0.2">
      <c r="A235" t="s">
        <v>14</v>
      </c>
      <c r="B235">
        <v>20231117</v>
      </c>
      <c r="C235">
        <v>101020.71</v>
      </c>
      <c r="D235">
        <v>101055.99</v>
      </c>
      <c r="E235">
        <v>1250</v>
      </c>
      <c r="F235">
        <v>1304</v>
      </c>
      <c r="G235" t="s">
        <v>246</v>
      </c>
      <c r="H235">
        <v>35.2799999999988</v>
      </c>
      <c r="I235">
        <v>14</v>
      </c>
      <c r="J235" t="s">
        <v>16</v>
      </c>
      <c r="K235">
        <v>235.15</v>
      </c>
      <c r="L235">
        <v>235.5</v>
      </c>
      <c r="M235">
        <v>235.55</v>
      </c>
      <c r="N235">
        <v>235.92</v>
      </c>
      <c r="O235" s="1">
        <f t="shared" si="12"/>
        <v>1.4884116521369783E-3</v>
      </c>
      <c r="P235" s="1">
        <f t="shared" si="13"/>
        <v>2.1231422505318953E-4</v>
      </c>
      <c r="Q235" t="str">
        <f t="shared" si="14"/>
        <v>IDLE</v>
      </c>
      <c r="R235">
        <f t="shared" si="15"/>
        <v>0</v>
      </c>
    </row>
    <row r="236" spans="1:18" x14ac:dyDescent="0.2">
      <c r="A236" t="s">
        <v>14</v>
      </c>
      <c r="B236">
        <v>20231117</v>
      </c>
      <c r="C236">
        <v>101055.99</v>
      </c>
      <c r="D236">
        <v>101055.99</v>
      </c>
      <c r="E236">
        <v>1308</v>
      </c>
      <c r="F236">
        <v>1324</v>
      </c>
      <c r="G236" t="s">
        <v>247</v>
      </c>
      <c r="H236">
        <v>0</v>
      </c>
      <c r="I236">
        <v>16</v>
      </c>
      <c r="J236" t="s">
        <v>16</v>
      </c>
      <c r="K236">
        <v>236.01</v>
      </c>
      <c r="L236">
        <v>236.34</v>
      </c>
      <c r="M236">
        <v>236.69</v>
      </c>
      <c r="N236">
        <v>236.34</v>
      </c>
      <c r="O236" s="1">
        <f t="shared" si="12"/>
        <v>1.3982458370409567E-3</v>
      </c>
      <c r="P236" s="1">
        <f t="shared" si="13"/>
        <v>1.4809173225014405E-3</v>
      </c>
      <c r="Q236" t="str">
        <f t="shared" si="14"/>
        <v>IDLE</v>
      </c>
      <c r="R236">
        <f t="shared" si="15"/>
        <v>0</v>
      </c>
    </row>
    <row r="237" spans="1:18" x14ac:dyDescent="0.2">
      <c r="A237" t="s">
        <v>14</v>
      </c>
      <c r="B237">
        <v>20231117</v>
      </c>
      <c r="C237">
        <v>101055.99</v>
      </c>
      <c r="D237">
        <v>101071.11</v>
      </c>
      <c r="E237">
        <v>1328</v>
      </c>
      <c r="F237">
        <v>1342</v>
      </c>
      <c r="G237" t="s">
        <v>248</v>
      </c>
      <c r="H237">
        <v>15.119999999995301</v>
      </c>
      <c r="I237">
        <v>14</v>
      </c>
      <c r="J237" t="s">
        <v>16</v>
      </c>
      <c r="K237">
        <v>236.34</v>
      </c>
      <c r="L237">
        <v>236.55</v>
      </c>
      <c r="M237">
        <v>236.95</v>
      </c>
      <c r="N237">
        <v>236.73</v>
      </c>
      <c r="O237" s="1">
        <f t="shared" si="12"/>
        <v>8.8855039350099752E-4</v>
      </c>
      <c r="P237" s="1">
        <f t="shared" si="13"/>
        <v>1.6909744240116709E-3</v>
      </c>
      <c r="Q237" t="str">
        <f t="shared" si="14"/>
        <v>IDLE</v>
      </c>
      <c r="R237">
        <f t="shared" si="15"/>
        <v>0</v>
      </c>
    </row>
    <row r="238" spans="1:18" x14ac:dyDescent="0.2">
      <c r="A238" t="s">
        <v>14</v>
      </c>
      <c r="B238">
        <v>20231120</v>
      </c>
      <c r="C238">
        <v>101071.11</v>
      </c>
      <c r="D238">
        <v>101000.59</v>
      </c>
      <c r="E238">
        <v>933</v>
      </c>
      <c r="F238">
        <v>936</v>
      </c>
      <c r="G238" t="s">
        <v>249</v>
      </c>
      <c r="H238">
        <v>-70.520000000004003</v>
      </c>
      <c r="I238">
        <v>3</v>
      </c>
      <c r="J238" t="s">
        <v>15</v>
      </c>
      <c r="K238">
        <v>231.57</v>
      </c>
      <c r="L238">
        <v>231.7</v>
      </c>
      <c r="M238">
        <v>235.25</v>
      </c>
      <c r="N238">
        <v>232.52</v>
      </c>
      <c r="O238" s="1">
        <f t="shared" si="12"/>
        <v>5.6138532625116255E-4</v>
      </c>
      <c r="P238" s="1">
        <f t="shared" si="13"/>
        <v>1.5321536469572683E-2</v>
      </c>
      <c r="Q238" t="str">
        <f t="shared" si="14"/>
        <v>SELL</v>
      </c>
      <c r="R238">
        <f t="shared" si="15"/>
        <v>-70.520000000004003</v>
      </c>
    </row>
    <row r="239" spans="1:18" x14ac:dyDescent="0.2">
      <c r="A239" t="s">
        <v>14</v>
      </c>
      <c r="B239">
        <v>20231120</v>
      </c>
      <c r="C239">
        <v>101000.59</v>
      </c>
      <c r="D239">
        <v>100983.59</v>
      </c>
      <c r="E239">
        <v>1047</v>
      </c>
      <c r="F239">
        <v>1049</v>
      </c>
      <c r="G239" t="s">
        <v>250</v>
      </c>
      <c r="H239">
        <v>-17</v>
      </c>
      <c r="I239">
        <v>2</v>
      </c>
      <c r="J239" t="s">
        <v>15</v>
      </c>
      <c r="K239">
        <v>232.23</v>
      </c>
      <c r="L239">
        <v>232.69</v>
      </c>
      <c r="M239">
        <v>233.38</v>
      </c>
      <c r="N239">
        <v>232.89</v>
      </c>
      <c r="O239" s="1">
        <f t="shared" si="12"/>
        <v>1.9807949016061865E-3</v>
      </c>
      <c r="P239" s="1">
        <f t="shared" si="13"/>
        <v>2.9653186643172624E-3</v>
      </c>
      <c r="Q239" t="str">
        <f t="shared" si="14"/>
        <v>SELL</v>
      </c>
      <c r="R239">
        <f t="shared" si="15"/>
        <v>-17</v>
      </c>
    </row>
    <row r="240" spans="1:18" x14ac:dyDescent="0.2">
      <c r="A240" t="s">
        <v>14</v>
      </c>
      <c r="B240">
        <v>20231120</v>
      </c>
      <c r="C240">
        <v>100983.59</v>
      </c>
      <c r="D240">
        <v>100959.79</v>
      </c>
      <c r="E240">
        <v>1053</v>
      </c>
      <c r="F240">
        <v>1055</v>
      </c>
      <c r="G240" t="s">
        <v>251</v>
      </c>
      <c r="H240">
        <v>-23.8000000000029</v>
      </c>
      <c r="I240">
        <v>2</v>
      </c>
      <c r="J240" t="s">
        <v>15</v>
      </c>
      <c r="K240">
        <v>232.27</v>
      </c>
      <c r="L240">
        <v>233</v>
      </c>
      <c r="M240">
        <v>233.15</v>
      </c>
      <c r="N240">
        <v>233.28</v>
      </c>
      <c r="O240" s="1">
        <f t="shared" si="12"/>
        <v>3.142894045722544E-3</v>
      </c>
      <c r="P240" s="1">
        <f t="shared" si="13"/>
        <v>6.4377682403438108E-4</v>
      </c>
      <c r="Q240" t="str">
        <f t="shared" si="14"/>
        <v>SELL</v>
      </c>
      <c r="R240">
        <f t="shared" si="15"/>
        <v>-23.8000000000029</v>
      </c>
    </row>
    <row r="241" spans="1:18" x14ac:dyDescent="0.2">
      <c r="A241" t="s">
        <v>14</v>
      </c>
      <c r="B241">
        <v>20231120</v>
      </c>
      <c r="C241">
        <v>100959.79</v>
      </c>
      <c r="D241">
        <v>100913.89</v>
      </c>
      <c r="E241">
        <v>1059</v>
      </c>
      <c r="F241">
        <v>1103</v>
      </c>
      <c r="G241" t="s">
        <v>252</v>
      </c>
      <c r="H241">
        <v>-45.899999999994101</v>
      </c>
      <c r="I241">
        <v>4</v>
      </c>
      <c r="J241" t="s">
        <v>15</v>
      </c>
      <c r="K241">
        <v>232.71</v>
      </c>
      <c r="L241">
        <v>233.24</v>
      </c>
      <c r="M241">
        <v>233.38</v>
      </c>
      <c r="N241">
        <v>233.78</v>
      </c>
      <c r="O241" s="1">
        <f t="shared" si="12"/>
        <v>2.2775127841518916E-3</v>
      </c>
      <c r="P241" s="1">
        <f t="shared" si="13"/>
        <v>6.0024009603831807E-4</v>
      </c>
      <c r="Q241" t="str">
        <f t="shared" si="14"/>
        <v>SELL</v>
      </c>
      <c r="R241">
        <f t="shared" si="15"/>
        <v>-45.899999999994101</v>
      </c>
    </row>
    <row r="242" spans="1:18" x14ac:dyDescent="0.2">
      <c r="A242" t="s">
        <v>14</v>
      </c>
      <c r="B242">
        <v>20231120</v>
      </c>
      <c r="C242">
        <v>100913.89</v>
      </c>
      <c r="D242">
        <v>100891.79</v>
      </c>
      <c r="E242">
        <v>1203</v>
      </c>
      <c r="F242">
        <v>1206</v>
      </c>
      <c r="G242" t="s">
        <v>253</v>
      </c>
      <c r="H242">
        <v>-22.100000000005799</v>
      </c>
      <c r="I242">
        <v>3</v>
      </c>
      <c r="J242" t="s">
        <v>15</v>
      </c>
      <c r="K242">
        <v>233.78</v>
      </c>
      <c r="L242">
        <v>233.98</v>
      </c>
      <c r="M242">
        <v>234.75</v>
      </c>
      <c r="N242">
        <v>234.24</v>
      </c>
      <c r="O242" s="1">
        <f t="shared" si="12"/>
        <v>8.5550517580634811E-4</v>
      </c>
      <c r="P242" s="1">
        <f t="shared" si="13"/>
        <v>3.2908795623558529E-3</v>
      </c>
      <c r="Q242" t="str">
        <f t="shared" si="14"/>
        <v>SELL</v>
      </c>
      <c r="R242">
        <f t="shared" si="15"/>
        <v>-22.100000000005799</v>
      </c>
    </row>
    <row r="243" spans="1:18" x14ac:dyDescent="0.2">
      <c r="A243" t="s">
        <v>14</v>
      </c>
      <c r="B243">
        <v>20231120</v>
      </c>
      <c r="C243">
        <v>100891.79</v>
      </c>
      <c r="D243">
        <v>100898.59</v>
      </c>
      <c r="E243">
        <v>1225</v>
      </c>
      <c r="F243">
        <v>1249</v>
      </c>
      <c r="G243" t="s">
        <v>254</v>
      </c>
      <c r="H243">
        <v>6.8000000000029104</v>
      </c>
      <c r="I243">
        <v>24</v>
      </c>
      <c r="J243" t="s">
        <v>15</v>
      </c>
      <c r="K243">
        <v>233.91</v>
      </c>
      <c r="L243">
        <v>233.78</v>
      </c>
      <c r="M243">
        <v>234.43</v>
      </c>
      <c r="N243">
        <v>233.7</v>
      </c>
      <c r="O243" s="1">
        <f t="shared" si="12"/>
        <v>-5.5576931298362275E-4</v>
      </c>
      <c r="P243" s="1">
        <f t="shared" si="13"/>
        <v>2.7803918213704648E-3</v>
      </c>
      <c r="Q243" t="str">
        <f t="shared" si="14"/>
        <v>IDLE</v>
      </c>
      <c r="R243">
        <f t="shared" si="15"/>
        <v>0</v>
      </c>
    </row>
    <row r="244" spans="1:18" x14ac:dyDescent="0.2">
      <c r="A244" t="s">
        <v>14</v>
      </c>
      <c r="B244">
        <v>20231120</v>
      </c>
      <c r="C244">
        <v>100898.59</v>
      </c>
      <c r="D244">
        <v>100896.04</v>
      </c>
      <c r="E244">
        <v>1253</v>
      </c>
      <c r="F244">
        <v>1302</v>
      </c>
      <c r="G244" t="s">
        <v>255</v>
      </c>
      <c r="H244">
        <v>-2.5500000000029099</v>
      </c>
      <c r="I244">
        <v>9</v>
      </c>
      <c r="J244" t="s">
        <v>15</v>
      </c>
      <c r="K244">
        <v>233.07</v>
      </c>
      <c r="L244">
        <v>233.59</v>
      </c>
      <c r="M244">
        <v>233.75</v>
      </c>
      <c r="N244">
        <v>233.62</v>
      </c>
      <c r="O244" s="1">
        <f t="shared" si="12"/>
        <v>2.2310893722916614E-3</v>
      </c>
      <c r="P244" s="1">
        <f t="shared" si="13"/>
        <v>6.8496082880264986E-4</v>
      </c>
      <c r="Q244" t="str">
        <f t="shared" si="14"/>
        <v>SELL</v>
      </c>
      <c r="R244">
        <f t="shared" si="15"/>
        <v>-2.5500000000029099</v>
      </c>
    </row>
    <row r="245" spans="1:18" x14ac:dyDescent="0.2">
      <c r="A245" t="s">
        <v>14</v>
      </c>
      <c r="B245">
        <v>20231120</v>
      </c>
      <c r="C245">
        <v>100896.04</v>
      </c>
      <c r="D245">
        <v>100882.44</v>
      </c>
      <c r="E245">
        <v>1322</v>
      </c>
      <c r="F245">
        <v>1323</v>
      </c>
      <c r="G245" t="s">
        <v>256</v>
      </c>
      <c r="H245">
        <v>-13.5999999999912</v>
      </c>
      <c r="I245">
        <v>1</v>
      </c>
      <c r="J245" t="s">
        <v>15</v>
      </c>
      <c r="K245">
        <v>233.23</v>
      </c>
      <c r="L245">
        <v>233.49</v>
      </c>
      <c r="M245">
        <v>234.17</v>
      </c>
      <c r="N245">
        <v>233.65</v>
      </c>
      <c r="O245" s="1">
        <f t="shared" si="12"/>
        <v>1.1147794023067537E-3</v>
      </c>
      <c r="P245" s="1">
        <f t="shared" si="13"/>
        <v>2.9123302925178063E-3</v>
      </c>
      <c r="Q245" t="str">
        <f t="shared" si="14"/>
        <v>SELL</v>
      </c>
      <c r="R245">
        <f t="shared" si="15"/>
        <v>-13.5999999999912</v>
      </c>
    </row>
    <row r="246" spans="1:18" x14ac:dyDescent="0.2">
      <c r="A246" t="s">
        <v>14</v>
      </c>
      <c r="B246">
        <v>20231120</v>
      </c>
      <c r="C246">
        <v>100882.44</v>
      </c>
      <c r="D246">
        <v>100869.69</v>
      </c>
      <c r="E246">
        <v>1327</v>
      </c>
      <c r="F246">
        <v>1339</v>
      </c>
      <c r="G246" t="s">
        <v>257</v>
      </c>
      <c r="H246">
        <v>-12.75</v>
      </c>
      <c r="I246">
        <v>12</v>
      </c>
      <c r="J246" t="s">
        <v>15</v>
      </c>
      <c r="K246">
        <v>233.26</v>
      </c>
      <c r="L246">
        <v>233.89</v>
      </c>
      <c r="M246">
        <v>233.95</v>
      </c>
      <c r="N246">
        <v>234.04</v>
      </c>
      <c r="O246" s="1">
        <f t="shared" si="12"/>
        <v>2.7008488382063156E-3</v>
      </c>
      <c r="P246" s="1">
        <f t="shared" si="13"/>
        <v>2.5653084783439084E-4</v>
      </c>
      <c r="Q246" t="str">
        <f t="shared" si="14"/>
        <v>SELL</v>
      </c>
      <c r="R246">
        <f t="shared" si="15"/>
        <v>-12.75</v>
      </c>
    </row>
    <row r="247" spans="1:18" x14ac:dyDescent="0.2">
      <c r="A247" t="s">
        <v>14</v>
      </c>
      <c r="B247">
        <v>20231120</v>
      </c>
      <c r="C247">
        <v>100869.69</v>
      </c>
      <c r="D247">
        <v>100882.29</v>
      </c>
      <c r="E247">
        <v>1516</v>
      </c>
      <c r="F247">
        <v>1548</v>
      </c>
      <c r="G247" t="s">
        <v>258</v>
      </c>
      <c r="H247">
        <v>12.5999999999912</v>
      </c>
      <c r="I247">
        <v>32</v>
      </c>
      <c r="J247" t="s">
        <v>16</v>
      </c>
      <c r="K247">
        <v>235.01</v>
      </c>
      <c r="L247">
        <v>236.1</v>
      </c>
      <c r="M247">
        <v>236.36</v>
      </c>
      <c r="N247">
        <v>236.25</v>
      </c>
      <c r="O247" s="1">
        <f t="shared" si="12"/>
        <v>4.6381005063613756E-3</v>
      </c>
      <c r="P247" s="1">
        <f t="shared" si="13"/>
        <v>1.1012282930962236E-3</v>
      </c>
      <c r="Q247" t="str">
        <f t="shared" si="14"/>
        <v>IDLE</v>
      </c>
      <c r="R247">
        <f t="shared" si="15"/>
        <v>0</v>
      </c>
    </row>
    <row r="248" spans="1:18" x14ac:dyDescent="0.2">
      <c r="A248" t="s">
        <v>14</v>
      </c>
      <c r="B248">
        <v>20231121</v>
      </c>
      <c r="C248">
        <v>100882.29</v>
      </c>
      <c r="D248">
        <v>100814.23</v>
      </c>
      <c r="E248">
        <v>946</v>
      </c>
      <c r="F248">
        <v>947</v>
      </c>
      <c r="G248" t="s">
        <v>259</v>
      </c>
      <c r="H248">
        <v>-68.059999999997601</v>
      </c>
      <c r="I248">
        <v>1</v>
      </c>
      <c r="J248" t="s">
        <v>16</v>
      </c>
      <c r="K248">
        <v>238.31</v>
      </c>
      <c r="L248">
        <v>240.54</v>
      </c>
      <c r="M248">
        <v>241.29</v>
      </c>
      <c r="N248">
        <v>239.72</v>
      </c>
      <c r="O248" s="1">
        <f t="shared" si="12"/>
        <v>9.3575594813477547E-3</v>
      </c>
      <c r="P248" s="1">
        <f t="shared" si="13"/>
        <v>3.117984534796614E-3</v>
      </c>
      <c r="Q248" t="str">
        <f t="shared" si="14"/>
        <v>IDLE</v>
      </c>
      <c r="R248">
        <f t="shared" si="15"/>
        <v>0</v>
      </c>
    </row>
    <row r="249" spans="1:18" x14ac:dyDescent="0.2">
      <c r="A249" t="s">
        <v>14</v>
      </c>
      <c r="B249">
        <v>20231121</v>
      </c>
      <c r="C249">
        <v>100814.23</v>
      </c>
      <c r="D249">
        <v>100893.08</v>
      </c>
      <c r="E249">
        <v>951</v>
      </c>
      <c r="F249">
        <v>955</v>
      </c>
      <c r="G249" t="s">
        <v>260</v>
      </c>
      <c r="H249">
        <v>78.850000000005807</v>
      </c>
      <c r="I249">
        <v>4</v>
      </c>
      <c r="J249" t="s">
        <v>16</v>
      </c>
      <c r="K249">
        <v>239.59</v>
      </c>
      <c r="L249">
        <v>239.9</v>
      </c>
      <c r="M249">
        <v>241.02</v>
      </c>
      <c r="N249">
        <v>240.85</v>
      </c>
      <c r="O249" s="1">
        <f t="shared" si="12"/>
        <v>1.2938770399433253E-3</v>
      </c>
      <c r="P249" s="1">
        <f t="shared" si="13"/>
        <v>4.668611921633925E-3</v>
      </c>
      <c r="Q249" t="str">
        <f t="shared" si="14"/>
        <v>BUY</v>
      </c>
      <c r="R249">
        <f t="shared" si="15"/>
        <v>78.850000000005807</v>
      </c>
    </row>
    <row r="250" spans="1:18" x14ac:dyDescent="0.2">
      <c r="A250" t="s">
        <v>14</v>
      </c>
      <c r="B250">
        <v>20231121</v>
      </c>
      <c r="C250">
        <v>100893.08</v>
      </c>
      <c r="D250">
        <v>101025.1</v>
      </c>
      <c r="E250">
        <v>959</v>
      </c>
      <c r="F250">
        <v>1008</v>
      </c>
      <c r="G250" t="s">
        <v>261</v>
      </c>
      <c r="H250">
        <v>132.02000000000399</v>
      </c>
      <c r="I250">
        <v>9</v>
      </c>
      <c r="J250" t="s">
        <v>16</v>
      </c>
      <c r="K250">
        <v>240.05</v>
      </c>
      <c r="L250">
        <v>241.29</v>
      </c>
      <c r="M250">
        <v>241.69</v>
      </c>
      <c r="N250">
        <v>242.9</v>
      </c>
      <c r="O250" s="1">
        <f t="shared" si="12"/>
        <v>5.165590501978734E-3</v>
      </c>
      <c r="P250" s="1">
        <f t="shared" si="13"/>
        <v>1.6577562269468604E-3</v>
      </c>
      <c r="Q250" t="str">
        <f t="shared" si="14"/>
        <v>IDLE</v>
      </c>
      <c r="R250">
        <f t="shared" si="15"/>
        <v>0</v>
      </c>
    </row>
    <row r="251" spans="1:18" x14ac:dyDescent="0.2">
      <c r="A251" t="s">
        <v>14</v>
      </c>
      <c r="B251">
        <v>20231121</v>
      </c>
      <c r="C251">
        <v>101025.1</v>
      </c>
      <c r="D251">
        <v>100984.92</v>
      </c>
      <c r="E251">
        <v>1012</v>
      </c>
      <c r="F251">
        <v>1018</v>
      </c>
      <c r="G251" t="s">
        <v>262</v>
      </c>
      <c r="H251">
        <v>-40.180000000007503</v>
      </c>
      <c r="I251">
        <v>6</v>
      </c>
      <c r="J251" t="s">
        <v>16</v>
      </c>
      <c r="K251">
        <v>242.08</v>
      </c>
      <c r="L251">
        <v>242.19</v>
      </c>
      <c r="M251">
        <v>243.3</v>
      </c>
      <c r="N251">
        <v>241.7</v>
      </c>
      <c r="O251" s="1">
        <f t="shared" si="12"/>
        <v>4.543952412425778E-4</v>
      </c>
      <c r="P251" s="1">
        <f t="shared" si="13"/>
        <v>4.583178496222029E-3</v>
      </c>
      <c r="Q251" t="str">
        <f t="shared" si="14"/>
        <v>IDLE</v>
      </c>
      <c r="R251">
        <f t="shared" si="15"/>
        <v>0</v>
      </c>
    </row>
    <row r="252" spans="1:18" x14ac:dyDescent="0.2">
      <c r="A252" t="s">
        <v>14</v>
      </c>
      <c r="B252">
        <v>20231121</v>
      </c>
      <c r="C252">
        <v>100984.92</v>
      </c>
      <c r="D252">
        <v>100914.4</v>
      </c>
      <c r="E252">
        <v>1022</v>
      </c>
      <c r="F252">
        <v>1024</v>
      </c>
      <c r="G252" t="s">
        <v>263</v>
      </c>
      <c r="H252">
        <v>-70.520000000004003</v>
      </c>
      <c r="I252">
        <v>2</v>
      </c>
      <c r="J252" t="s">
        <v>16</v>
      </c>
      <c r="K252">
        <v>241.37</v>
      </c>
      <c r="L252">
        <v>241.6</v>
      </c>
      <c r="M252">
        <v>242.83</v>
      </c>
      <c r="N252">
        <v>240.74</v>
      </c>
      <c r="O252" s="1">
        <f t="shared" si="12"/>
        <v>9.528938973359935E-4</v>
      </c>
      <c r="P252" s="1">
        <f t="shared" si="13"/>
        <v>5.0910596026489952E-3</v>
      </c>
      <c r="Q252" t="str">
        <f t="shared" si="14"/>
        <v>BUY</v>
      </c>
      <c r="R252">
        <f t="shared" si="15"/>
        <v>-70.520000000004003</v>
      </c>
    </row>
    <row r="253" spans="1:18" x14ac:dyDescent="0.2">
      <c r="A253" t="s">
        <v>14</v>
      </c>
      <c r="B253">
        <v>20231121</v>
      </c>
      <c r="C253">
        <v>100914.4</v>
      </c>
      <c r="D253">
        <v>100874.22</v>
      </c>
      <c r="E253">
        <v>1418</v>
      </c>
      <c r="F253">
        <v>1443</v>
      </c>
      <c r="G253" t="s">
        <v>264</v>
      </c>
      <c r="H253">
        <v>-40.179999999993001</v>
      </c>
      <c r="I253">
        <v>25</v>
      </c>
      <c r="J253" t="s">
        <v>16</v>
      </c>
      <c r="K253">
        <v>241.28</v>
      </c>
      <c r="L253">
        <v>241.49</v>
      </c>
      <c r="M253">
        <v>242</v>
      </c>
      <c r="N253">
        <v>241</v>
      </c>
      <c r="O253" s="1">
        <f t="shared" si="12"/>
        <v>8.7035809018565224E-4</v>
      </c>
      <c r="P253" s="1">
        <f t="shared" si="13"/>
        <v>2.1118886910431733E-3</v>
      </c>
      <c r="Q253" t="str">
        <f t="shared" si="14"/>
        <v>IDLE</v>
      </c>
      <c r="R253">
        <f t="shared" si="15"/>
        <v>0</v>
      </c>
    </row>
    <row r="254" spans="1:18" x14ac:dyDescent="0.2">
      <c r="A254" t="s">
        <v>14</v>
      </c>
      <c r="B254">
        <v>20231121</v>
      </c>
      <c r="C254">
        <v>100874.22</v>
      </c>
      <c r="D254">
        <v>100867.66</v>
      </c>
      <c r="E254">
        <v>1507</v>
      </c>
      <c r="F254">
        <v>1508</v>
      </c>
      <c r="G254" t="s">
        <v>265</v>
      </c>
      <c r="H254">
        <v>-6.5599999999976699</v>
      </c>
      <c r="I254">
        <v>1</v>
      </c>
      <c r="J254" t="s">
        <v>16</v>
      </c>
      <c r="K254">
        <v>241.41</v>
      </c>
      <c r="L254">
        <v>241.8</v>
      </c>
      <c r="M254">
        <v>241.95</v>
      </c>
      <c r="N254">
        <v>241.72</v>
      </c>
      <c r="O254" s="1">
        <f t="shared" si="12"/>
        <v>1.615508885298933E-3</v>
      </c>
      <c r="P254" s="1">
        <f t="shared" si="13"/>
        <v>6.2034739454075449E-4</v>
      </c>
      <c r="Q254" t="str">
        <f t="shared" si="14"/>
        <v>IDLE</v>
      </c>
      <c r="R254">
        <f t="shared" si="15"/>
        <v>0</v>
      </c>
    </row>
    <row r="255" spans="1:18" x14ac:dyDescent="0.2">
      <c r="A255" t="s">
        <v>14</v>
      </c>
      <c r="B255">
        <v>20231121</v>
      </c>
      <c r="C255">
        <v>100867.66</v>
      </c>
      <c r="D255">
        <v>100856.18</v>
      </c>
      <c r="E255">
        <v>1512</v>
      </c>
      <c r="F255">
        <v>1513</v>
      </c>
      <c r="G255" t="s">
        <v>266</v>
      </c>
      <c r="H255">
        <v>-11.480000000010399</v>
      </c>
      <c r="I255">
        <v>1</v>
      </c>
      <c r="J255" t="s">
        <v>16</v>
      </c>
      <c r="K255">
        <v>241.65</v>
      </c>
      <c r="L255">
        <v>241.86</v>
      </c>
      <c r="M255">
        <v>241.93</v>
      </c>
      <c r="N255">
        <v>241.72</v>
      </c>
      <c r="O255" s="1">
        <f t="shared" si="12"/>
        <v>8.690254500309802E-4</v>
      </c>
      <c r="P255" s="1">
        <f t="shared" si="13"/>
        <v>2.8942363350692446E-4</v>
      </c>
      <c r="Q255" t="str">
        <f t="shared" si="14"/>
        <v>IDLE</v>
      </c>
      <c r="R255">
        <f t="shared" si="15"/>
        <v>0</v>
      </c>
    </row>
    <row r="256" spans="1:18" x14ac:dyDescent="0.2">
      <c r="A256" t="s">
        <v>14</v>
      </c>
      <c r="B256">
        <v>20231121</v>
      </c>
      <c r="C256">
        <v>100856.18</v>
      </c>
      <c r="D256">
        <v>100847.16</v>
      </c>
      <c r="E256">
        <v>1517</v>
      </c>
      <c r="F256">
        <v>1521</v>
      </c>
      <c r="G256" t="s">
        <v>267</v>
      </c>
      <c r="H256">
        <v>-9.0199999999895208</v>
      </c>
      <c r="I256">
        <v>4</v>
      </c>
      <c r="J256" t="s">
        <v>16</v>
      </c>
      <c r="K256">
        <v>241.62</v>
      </c>
      <c r="L256">
        <v>241.82</v>
      </c>
      <c r="M256">
        <v>241.98</v>
      </c>
      <c r="N256">
        <v>241.71</v>
      </c>
      <c r="O256" s="1">
        <f t="shared" si="12"/>
        <v>8.2774604751256753E-4</v>
      </c>
      <c r="P256" s="1">
        <f t="shared" si="13"/>
        <v>6.6164916053268463E-4</v>
      </c>
      <c r="Q256" t="str">
        <f t="shared" si="14"/>
        <v>IDLE</v>
      </c>
      <c r="R256">
        <f t="shared" si="15"/>
        <v>0</v>
      </c>
    </row>
    <row r="257" spans="1:18" x14ac:dyDescent="0.2">
      <c r="A257" t="s">
        <v>14</v>
      </c>
      <c r="B257">
        <v>20231121</v>
      </c>
      <c r="C257">
        <v>100847.16</v>
      </c>
      <c r="D257">
        <v>100798.78</v>
      </c>
      <c r="E257">
        <v>1553</v>
      </c>
      <c r="F257">
        <v>1555</v>
      </c>
      <c r="G257" t="s">
        <v>268</v>
      </c>
      <c r="H257">
        <v>-48.3800000000046</v>
      </c>
      <c r="I257">
        <v>2</v>
      </c>
      <c r="J257" t="s">
        <v>16</v>
      </c>
      <c r="K257">
        <v>241.14</v>
      </c>
      <c r="L257">
        <v>241.78</v>
      </c>
      <c r="M257">
        <v>241.8</v>
      </c>
      <c r="N257">
        <v>241.19</v>
      </c>
      <c r="O257" s="1">
        <f t="shared" si="12"/>
        <v>2.6540598822262229E-3</v>
      </c>
      <c r="P257" s="1">
        <f t="shared" si="13"/>
        <v>8.2719827942723256E-5</v>
      </c>
      <c r="Q257" t="str">
        <f t="shared" si="14"/>
        <v>IDLE</v>
      </c>
      <c r="R257">
        <f t="shared" si="15"/>
        <v>0</v>
      </c>
    </row>
    <row r="258" spans="1:18" x14ac:dyDescent="0.2">
      <c r="A258" t="s">
        <v>14</v>
      </c>
      <c r="B258">
        <v>20231122</v>
      </c>
      <c r="C258">
        <v>100798.78</v>
      </c>
      <c r="D258">
        <v>100756.45</v>
      </c>
      <c r="E258">
        <v>946</v>
      </c>
      <c r="F258">
        <v>948</v>
      </c>
      <c r="G258" t="s">
        <v>269</v>
      </c>
      <c r="H258">
        <v>-42.330000000001696</v>
      </c>
      <c r="I258">
        <v>2</v>
      </c>
      <c r="J258" t="s">
        <v>15</v>
      </c>
      <c r="K258">
        <v>237.77</v>
      </c>
      <c r="L258">
        <v>238.35</v>
      </c>
      <c r="M258">
        <v>240.58</v>
      </c>
      <c r="N258">
        <v>238.86</v>
      </c>
      <c r="O258" s="1">
        <f t="shared" si="12"/>
        <v>2.4393321276863222E-3</v>
      </c>
      <c r="P258" s="1">
        <f t="shared" si="13"/>
        <v>9.3559890916719013E-3</v>
      </c>
      <c r="Q258" t="str">
        <f t="shared" si="14"/>
        <v>SELL</v>
      </c>
      <c r="R258">
        <f t="shared" si="15"/>
        <v>-42.330000000001696</v>
      </c>
    </row>
    <row r="259" spans="1:18" x14ac:dyDescent="0.2">
      <c r="A259" t="s">
        <v>14</v>
      </c>
      <c r="B259">
        <v>20231122</v>
      </c>
      <c r="C259">
        <v>100756.45</v>
      </c>
      <c r="D259">
        <v>100921.09</v>
      </c>
      <c r="E259">
        <v>952</v>
      </c>
      <c r="F259">
        <v>1013</v>
      </c>
      <c r="G259" t="s">
        <v>270</v>
      </c>
      <c r="H259">
        <v>164.63999999999899</v>
      </c>
      <c r="I259">
        <v>21</v>
      </c>
      <c r="J259" t="s">
        <v>15</v>
      </c>
      <c r="K259">
        <v>237.61</v>
      </c>
      <c r="L259">
        <v>237.24</v>
      </c>
      <c r="M259">
        <v>239.21</v>
      </c>
      <c r="N259">
        <v>235.28</v>
      </c>
      <c r="O259" s="1">
        <f t="shared" si="12"/>
        <v>-1.5571735196330261E-3</v>
      </c>
      <c r="P259" s="1">
        <f t="shared" si="13"/>
        <v>8.3038273478333036E-3</v>
      </c>
      <c r="Q259" t="str">
        <f t="shared" si="14"/>
        <v>IDLE</v>
      </c>
      <c r="R259">
        <f t="shared" si="15"/>
        <v>0</v>
      </c>
    </row>
    <row r="260" spans="1:18" x14ac:dyDescent="0.2">
      <c r="A260" t="s">
        <v>14</v>
      </c>
      <c r="B260">
        <v>20231122</v>
      </c>
      <c r="C260">
        <v>100921.09</v>
      </c>
      <c r="D260">
        <v>100852.24</v>
      </c>
      <c r="E260">
        <v>1017</v>
      </c>
      <c r="F260">
        <v>1019</v>
      </c>
      <c r="G260" t="s">
        <v>271</v>
      </c>
      <c r="H260">
        <v>-68.849999999991198</v>
      </c>
      <c r="I260">
        <v>2</v>
      </c>
      <c r="J260" t="s">
        <v>15</v>
      </c>
      <c r="K260">
        <v>233.72</v>
      </c>
      <c r="L260">
        <v>232.96</v>
      </c>
      <c r="M260">
        <v>235.62</v>
      </c>
      <c r="N260">
        <v>233.77</v>
      </c>
      <c r="O260" s="1">
        <f t="shared" ref="O260:O323" si="16">(L260/K260)-1</f>
        <v>-3.2517542358376783E-3</v>
      </c>
      <c r="P260" s="1">
        <f t="shared" ref="P260:P323" si="17">(M260/L260)-1</f>
        <v>1.1418269230769162E-2</v>
      </c>
      <c r="Q260" t="str">
        <f t="shared" ref="Q260:Q323" si="18">IF(J260="SELL",IF(O260&gt;=$O$1,"SELL","IDLE"),IF(P260&gt;=$P$1,"BUY","IDLE"))</f>
        <v>IDLE</v>
      </c>
      <c r="R260">
        <f t="shared" ref="R260:R323" si="19">IF(Q260&lt;&gt;"IDLE",H260,0)</f>
        <v>0</v>
      </c>
    </row>
    <row r="261" spans="1:18" x14ac:dyDescent="0.2">
      <c r="A261" t="s">
        <v>14</v>
      </c>
      <c r="B261">
        <v>20231122</v>
      </c>
      <c r="C261">
        <v>100852.24</v>
      </c>
      <c r="D261">
        <v>100820.79</v>
      </c>
      <c r="E261">
        <v>1023</v>
      </c>
      <c r="F261">
        <v>1024</v>
      </c>
      <c r="G261" t="s">
        <v>272</v>
      </c>
      <c r="H261">
        <v>-31.450000000011599</v>
      </c>
      <c r="I261">
        <v>1</v>
      </c>
      <c r="J261" t="s">
        <v>15</v>
      </c>
      <c r="K261">
        <v>233.07</v>
      </c>
      <c r="L261">
        <v>233.88</v>
      </c>
      <c r="M261">
        <v>234.85</v>
      </c>
      <c r="N261">
        <v>234.25</v>
      </c>
      <c r="O261" s="1">
        <f t="shared" si="16"/>
        <v>3.4753507529927674E-3</v>
      </c>
      <c r="P261" s="1">
        <f t="shared" si="17"/>
        <v>4.1474260304430466E-3</v>
      </c>
      <c r="Q261" t="str">
        <f t="shared" si="18"/>
        <v>SELL</v>
      </c>
      <c r="R261">
        <f t="shared" si="19"/>
        <v>-31.450000000011599</v>
      </c>
    </row>
    <row r="262" spans="1:18" x14ac:dyDescent="0.2">
      <c r="A262" t="s">
        <v>14</v>
      </c>
      <c r="B262">
        <v>20231122</v>
      </c>
      <c r="C262">
        <v>100820.79</v>
      </c>
      <c r="D262">
        <v>100762.99</v>
      </c>
      <c r="E262">
        <v>1028</v>
      </c>
      <c r="F262">
        <v>1029</v>
      </c>
      <c r="G262" t="s">
        <v>273</v>
      </c>
      <c r="H262">
        <v>-57.799999999988302</v>
      </c>
      <c r="I262">
        <v>1</v>
      </c>
      <c r="J262" t="s">
        <v>15</v>
      </c>
      <c r="K262">
        <v>233.55</v>
      </c>
      <c r="L262">
        <v>233.69</v>
      </c>
      <c r="M262">
        <v>234.19</v>
      </c>
      <c r="N262">
        <v>234.37</v>
      </c>
      <c r="O262" s="1">
        <f t="shared" si="16"/>
        <v>5.994433740097449E-4</v>
      </c>
      <c r="P262" s="1">
        <f t="shared" si="17"/>
        <v>2.1395866318627554E-3</v>
      </c>
      <c r="Q262" t="str">
        <f t="shared" si="18"/>
        <v>SELL</v>
      </c>
      <c r="R262">
        <f t="shared" si="19"/>
        <v>-57.799999999988302</v>
      </c>
    </row>
    <row r="263" spans="1:18" x14ac:dyDescent="0.2">
      <c r="A263" t="s">
        <v>14</v>
      </c>
      <c r="B263">
        <v>20231122</v>
      </c>
      <c r="C263">
        <v>100762.99</v>
      </c>
      <c r="D263">
        <v>100710.07</v>
      </c>
      <c r="E263">
        <v>1033</v>
      </c>
      <c r="F263">
        <v>1036</v>
      </c>
      <c r="G263" t="s">
        <v>274</v>
      </c>
      <c r="H263">
        <v>-52.919999999998197</v>
      </c>
      <c r="I263">
        <v>3</v>
      </c>
      <c r="J263" t="s">
        <v>15</v>
      </c>
      <c r="K263">
        <v>233.53</v>
      </c>
      <c r="L263">
        <v>235.38</v>
      </c>
      <c r="M263">
        <v>235.37</v>
      </c>
      <c r="N263">
        <v>236.01</v>
      </c>
      <c r="O263" s="1">
        <f t="shared" si="16"/>
        <v>7.9218944032886096E-3</v>
      </c>
      <c r="P263" s="1">
        <f t="shared" si="17"/>
        <v>-4.2484493159911096E-5</v>
      </c>
      <c r="Q263" t="str">
        <f t="shared" si="18"/>
        <v>SELL</v>
      </c>
      <c r="R263">
        <f t="shared" si="19"/>
        <v>-52.919999999998197</v>
      </c>
    </row>
    <row r="264" spans="1:18" x14ac:dyDescent="0.2">
      <c r="A264" t="s">
        <v>14</v>
      </c>
      <c r="B264">
        <v>20231122</v>
      </c>
      <c r="C264">
        <v>100710.07</v>
      </c>
      <c r="D264">
        <v>100809.52</v>
      </c>
      <c r="E264">
        <v>1045</v>
      </c>
      <c r="F264">
        <v>1105</v>
      </c>
      <c r="G264" t="s">
        <v>275</v>
      </c>
      <c r="H264">
        <v>99.449999999997004</v>
      </c>
      <c r="I264">
        <v>20</v>
      </c>
      <c r="J264" t="s">
        <v>15</v>
      </c>
      <c r="K264">
        <v>233.75</v>
      </c>
      <c r="L264">
        <v>234.27</v>
      </c>
      <c r="M264">
        <v>235.56</v>
      </c>
      <c r="N264">
        <v>233.1</v>
      </c>
      <c r="O264" s="1">
        <f t="shared" si="16"/>
        <v>2.2245989304814362E-3</v>
      </c>
      <c r="P264" s="1">
        <f t="shared" si="17"/>
        <v>5.5064668971698261E-3</v>
      </c>
      <c r="Q264" t="str">
        <f t="shared" si="18"/>
        <v>SELL</v>
      </c>
      <c r="R264">
        <f t="shared" si="19"/>
        <v>99.449999999997004</v>
      </c>
    </row>
    <row r="265" spans="1:18" x14ac:dyDescent="0.2">
      <c r="A265" t="s">
        <v>14</v>
      </c>
      <c r="B265">
        <v>20231122</v>
      </c>
      <c r="C265">
        <v>100809.52</v>
      </c>
      <c r="D265">
        <v>100781.47</v>
      </c>
      <c r="E265">
        <v>1109</v>
      </c>
      <c r="F265">
        <v>1110</v>
      </c>
      <c r="G265" t="s">
        <v>276</v>
      </c>
      <c r="H265">
        <v>-28.0500000000029</v>
      </c>
      <c r="I265">
        <v>1</v>
      </c>
      <c r="J265" t="s">
        <v>15</v>
      </c>
      <c r="K265">
        <v>232.57</v>
      </c>
      <c r="L265">
        <v>233.05</v>
      </c>
      <c r="M265">
        <v>233.17</v>
      </c>
      <c r="N265">
        <v>233.38</v>
      </c>
      <c r="O265" s="1">
        <f t="shared" si="16"/>
        <v>2.0638947413682551E-3</v>
      </c>
      <c r="P265" s="1">
        <f t="shared" si="17"/>
        <v>5.1491096331246489E-4</v>
      </c>
      <c r="Q265" t="str">
        <f t="shared" si="18"/>
        <v>SELL</v>
      </c>
      <c r="R265">
        <f t="shared" si="19"/>
        <v>-28.0500000000029</v>
      </c>
    </row>
    <row r="266" spans="1:18" x14ac:dyDescent="0.2">
      <c r="A266" t="s">
        <v>14</v>
      </c>
      <c r="B266">
        <v>20231122</v>
      </c>
      <c r="C266">
        <v>100781.47</v>
      </c>
      <c r="D266">
        <v>100851.17</v>
      </c>
      <c r="E266">
        <v>1114</v>
      </c>
      <c r="F266">
        <v>1136</v>
      </c>
      <c r="G266" t="s">
        <v>277</v>
      </c>
      <c r="H266">
        <v>69.699999999997004</v>
      </c>
      <c r="I266">
        <v>22</v>
      </c>
      <c r="J266" t="s">
        <v>15</v>
      </c>
      <c r="K266">
        <v>232.78</v>
      </c>
      <c r="L266">
        <v>233.1</v>
      </c>
      <c r="M266">
        <v>233.4</v>
      </c>
      <c r="N266">
        <v>232.28</v>
      </c>
      <c r="O266" s="1">
        <f t="shared" si="16"/>
        <v>1.3746885471259684E-3</v>
      </c>
      <c r="P266" s="1">
        <f t="shared" si="17"/>
        <v>1.2870012870014325E-3</v>
      </c>
      <c r="Q266" t="str">
        <f t="shared" si="18"/>
        <v>SELL</v>
      </c>
      <c r="R266">
        <f t="shared" si="19"/>
        <v>69.699999999997004</v>
      </c>
    </row>
    <row r="267" spans="1:18" x14ac:dyDescent="0.2">
      <c r="A267" t="s">
        <v>14</v>
      </c>
      <c r="B267">
        <v>20231122</v>
      </c>
      <c r="C267">
        <v>100851.17</v>
      </c>
      <c r="D267">
        <v>100840.85</v>
      </c>
      <c r="E267">
        <v>1140</v>
      </c>
      <c r="F267">
        <v>1142</v>
      </c>
      <c r="G267" t="s">
        <v>278</v>
      </c>
      <c r="H267">
        <v>-10.319999999992399</v>
      </c>
      <c r="I267">
        <v>2</v>
      </c>
      <c r="J267" t="s">
        <v>15</v>
      </c>
      <c r="K267">
        <v>231.84</v>
      </c>
      <c r="L267">
        <v>232.16</v>
      </c>
      <c r="M267">
        <v>232.29</v>
      </c>
      <c r="N267">
        <v>232.28</v>
      </c>
      <c r="O267" s="1">
        <f t="shared" si="16"/>
        <v>1.3802622498273465E-3</v>
      </c>
      <c r="P267" s="1">
        <f t="shared" si="17"/>
        <v>5.5995864920732608E-4</v>
      </c>
      <c r="Q267" t="str">
        <f t="shared" si="18"/>
        <v>SELL</v>
      </c>
      <c r="R267">
        <f t="shared" si="19"/>
        <v>-10.319999999992399</v>
      </c>
    </row>
    <row r="268" spans="1:18" x14ac:dyDescent="0.2">
      <c r="A268" t="s">
        <v>14</v>
      </c>
      <c r="B268">
        <v>20231122</v>
      </c>
      <c r="C268">
        <v>100840.85</v>
      </c>
      <c r="D268">
        <v>100805.59</v>
      </c>
      <c r="E268">
        <v>1146</v>
      </c>
      <c r="F268">
        <v>1148</v>
      </c>
      <c r="G268" t="s">
        <v>279</v>
      </c>
      <c r="H268">
        <v>-35.260000000009299</v>
      </c>
      <c r="I268">
        <v>2</v>
      </c>
      <c r="J268" t="s">
        <v>15</v>
      </c>
      <c r="K268">
        <v>232.08</v>
      </c>
      <c r="L268">
        <v>232.2</v>
      </c>
      <c r="M268">
        <v>232.33</v>
      </c>
      <c r="N268">
        <v>232.61</v>
      </c>
      <c r="O268" s="1">
        <f t="shared" si="16"/>
        <v>5.170630816959676E-4</v>
      </c>
      <c r="P268" s="1">
        <f t="shared" si="17"/>
        <v>5.5986218776937768E-4</v>
      </c>
      <c r="Q268" t="str">
        <f t="shared" si="18"/>
        <v>SELL</v>
      </c>
      <c r="R268">
        <f t="shared" si="19"/>
        <v>-35.260000000009299</v>
      </c>
    </row>
    <row r="269" spans="1:18" x14ac:dyDescent="0.2">
      <c r="A269" t="s">
        <v>14</v>
      </c>
      <c r="B269">
        <v>20231122</v>
      </c>
      <c r="C269">
        <v>100805.59</v>
      </c>
      <c r="D269">
        <v>100779.24</v>
      </c>
      <c r="E269">
        <v>1152</v>
      </c>
      <c r="F269">
        <v>1201</v>
      </c>
      <c r="G269" t="s">
        <v>280</v>
      </c>
      <c r="H269">
        <v>-26.349999999991201</v>
      </c>
      <c r="I269">
        <v>9</v>
      </c>
      <c r="J269" t="s">
        <v>15</v>
      </c>
      <c r="K269">
        <v>231.99</v>
      </c>
      <c r="L269">
        <v>232.99</v>
      </c>
      <c r="M269">
        <v>232.98</v>
      </c>
      <c r="N269">
        <v>233.3</v>
      </c>
      <c r="O269" s="1">
        <f t="shared" si="16"/>
        <v>4.3105306263200305E-3</v>
      </c>
      <c r="P269" s="1">
        <f t="shared" si="17"/>
        <v>-4.2920297008586239E-5</v>
      </c>
      <c r="Q269" t="str">
        <f t="shared" si="18"/>
        <v>SELL</v>
      </c>
      <c r="R269">
        <f t="shared" si="19"/>
        <v>-26.349999999991201</v>
      </c>
    </row>
    <row r="270" spans="1:18" x14ac:dyDescent="0.2">
      <c r="A270" t="s">
        <v>14</v>
      </c>
      <c r="B270">
        <v>20231122</v>
      </c>
      <c r="C270">
        <v>100779.24</v>
      </c>
      <c r="D270">
        <v>100749.14</v>
      </c>
      <c r="E270">
        <v>1219</v>
      </c>
      <c r="F270">
        <v>1221</v>
      </c>
      <c r="G270" t="s">
        <v>281</v>
      </c>
      <c r="H270">
        <v>-30.100000000005799</v>
      </c>
      <c r="I270">
        <v>2</v>
      </c>
      <c r="J270" t="s">
        <v>15</v>
      </c>
      <c r="K270">
        <v>232.33</v>
      </c>
      <c r="L270">
        <v>232.47</v>
      </c>
      <c r="M270">
        <v>233.55</v>
      </c>
      <c r="N270">
        <v>232.82</v>
      </c>
      <c r="O270" s="1">
        <f t="shared" si="16"/>
        <v>6.0259114191008045E-4</v>
      </c>
      <c r="P270" s="1">
        <f t="shared" si="17"/>
        <v>4.6457607433216808E-3</v>
      </c>
      <c r="Q270" t="str">
        <f t="shared" si="18"/>
        <v>SELL</v>
      </c>
      <c r="R270">
        <f t="shared" si="19"/>
        <v>-30.100000000005799</v>
      </c>
    </row>
    <row r="271" spans="1:18" x14ac:dyDescent="0.2">
      <c r="A271" t="s">
        <v>14</v>
      </c>
      <c r="B271">
        <v>20231122</v>
      </c>
      <c r="C271">
        <v>100749.14</v>
      </c>
      <c r="D271">
        <v>100777.19</v>
      </c>
      <c r="E271">
        <v>1225</v>
      </c>
      <c r="F271">
        <v>1234</v>
      </c>
      <c r="G271" t="s">
        <v>282</v>
      </c>
      <c r="H271">
        <v>28.0500000000029</v>
      </c>
      <c r="I271">
        <v>9</v>
      </c>
      <c r="J271" t="s">
        <v>15</v>
      </c>
      <c r="K271">
        <v>232.36</v>
      </c>
      <c r="L271">
        <v>232.58</v>
      </c>
      <c r="M271">
        <v>232.75</v>
      </c>
      <c r="N271">
        <v>232.25</v>
      </c>
      <c r="O271" s="1">
        <f t="shared" si="16"/>
        <v>9.4680667929081253E-4</v>
      </c>
      <c r="P271" s="1">
        <f t="shared" si="17"/>
        <v>7.3093129245838107E-4</v>
      </c>
      <c r="Q271" t="str">
        <f t="shared" si="18"/>
        <v>SELL</v>
      </c>
      <c r="R271">
        <f t="shared" si="19"/>
        <v>28.0500000000029</v>
      </c>
    </row>
    <row r="272" spans="1:18" x14ac:dyDescent="0.2">
      <c r="A272" t="s">
        <v>14</v>
      </c>
      <c r="B272">
        <v>20231122</v>
      </c>
      <c r="C272">
        <v>100777.19</v>
      </c>
      <c r="D272">
        <v>100763.43</v>
      </c>
      <c r="E272">
        <v>1238</v>
      </c>
      <c r="F272">
        <v>1242</v>
      </c>
      <c r="G272" t="s">
        <v>283</v>
      </c>
      <c r="H272">
        <v>-13.760000000009301</v>
      </c>
      <c r="I272">
        <v>4</v>
      </c>
      <c r="J272" t="s">
        <v>15</v>
      </c>
      <c r="K272">
        <v>231.81</v>
      </c>
      <c r="L272">
        <v>232.38</v>
      </c>
      <c r="M272">
        <v>232.58</v>
      </c>
      <c r="N272">
        <v>232.54</v>
      </c>
      <c r="O272" s="1">
        <f t="shared" si="16"/>
        <v>2.4589103144816438E-3</v>
      </c>
      <c r="P272" s="1">
        <f t="shared" si="17"/>
        <v>8.606592649971212E-4</v>
      </c>
      <c r="Q272" t="str">
        <f t="shared" si="18"/>
        <v>SELL</v>
      </c>
      <c r="R272">
        <f t="shared" si="19"/>
        <v>-13.760000000009301</v>
      </c>
    </row>
    <row r="273" spans="1:18" x14ac:dyDescent="0.2">
      <c r="A273" t="s">
        <v>14</v>
      </c>
      <c r="B273">
        <v>20231122</v>
      </c>
      <c r="C273">
        <v>100763.43</v>
      </c>
      <c r="D273">
        <v>100747.09</v>
      </c>
      <c r="E273">
        <v>1251</v>
      </c>
      <c r="F273">
        <v>1255</v>
      </c>
      <c r="G273" t="s">
        <v>284</v>
      </c>
      <c r="H273">
        <v>-16.3399999999965</v>
      </c>
      <c r="I273">
        <v>4</v>
      </c>
      <c r="J273" t="s">
        <v>15</v>
      </c>
      <c r="K273">
        <v>231.95</v>
      </c>
      <c r="L273">
        <v>232.1</v>
      </c>
      <c r="M273">
        <v>232.87</v>
      </c>
      <c r="N273">
        <v>232.29</v>
      </c>
      <c r="O273" s="1">
        <f t="shared" si="16"/>
        <v>6.4669109721915419E-4</v>
      </c>
      <c r="P273" s="1">
        <f t="shared" si="17"/>
        <v>3.3175355450236754E-3</v>
      </c>
      <c r="Q273" t="str">
        <f t="shared" si="18"/>
        <v>SELL</v>
      </c>
      <c r="R273">
        <f t="shared" si="19"/>
        <v>-16.3399999999965</v>
      </c>
    </row>
    <row r="274" spans="1:18" x14ac:dyDescent="0.2">
      <c r="A274" t="s">
        <v>14</v>
      </c>
      <c r="B274">
        <v>20231122</v>
      </c>
      <c r="C274">
        <v>100747.09</v>
      </c>
      <c r="D274">
        <v>100720.74</v>
      </c>
      <c r="E274">
        <v>1259</v>
      </c>
      <c r="F274">
        <v>1306</v>
      </c>
      <c r="G274" t="s">
        <v>285</v>
      </c>
      <c r="H274">
        <v>-26.349999999991201</v>
      </c>
      <c r="I274">
        <v>7</v>
      </c>
      <c r="J274" t="s">
        <v>15</v>
      </c>
      <c r="K274">
        <v>231.91</v>
      </c>
      <c r="L274">
        <v>232.57</v>
      </c>
      <c r="M274">
        <v>232.58</v>
      </c>
      <c r="N274">
        <v>232.88</v>
      </c>
      <c r="O274" s="1">
        <f t="shared" si="16"/>
        <v>2.8459316114008981E-3</v>
      </c>
      <c r="P274" s="1">
        <f t="shared" si="17"/>
        <v>4.2997807111921915E-5</v>
      </c>
      <c r="Q274" t="str">
        <f t="shared" si="18"/>
        <v>SELL</v>
      </c>
      <c r="R274">
        <f t="shared" si="19"/>
        <v>-26.349999999991201</v>
      </c>
    </row>
    <row r="275" spans="1:18" x14ac:dyDescent="0.2">
      <c r="A275" t="s">
        <v>14</v>
      </c>
      <c r="B275">
        <v>20231122</v>
      </c>
      <c r="C275">
        <v>100720.74</v>
      </c>
      <c r="D275">
        <v>100773.44</v>
      </c>
      <c r="E275">
        <v>1428</v>
      </c>
      <c r="F275">
        <v>1442</v>
      </c>
      <c r="G275" t="s">
        <v>286</v>
      </c>
      <c r="H275">
        <v>52.699999999996997</v>
      </c>
      <c r="I275">
        <v>14</v>
      </c>
      <c r="J275" t="s">
        <v>15</v>
      </c>
      <c r="K275">
        <v>233.03</v>
      </c>
      <c r="L275">
        <v>232.99</v>
      </c>
      <c r="M275">
        <v>233.63</v>
      </c>
      <c r="N275">
        <v>232.37</v>
      </c>
      <c r="O275" s="1">
        <f t="shared" si="16"/>
        <v>-1.7165171866284634E-4</v>
      </c>
      <c r="P275" s="1">
        <f t="shared" si="17"/>
        <v>2.7468990085410816E-3</v>
      </c>
      <c r="Q275" t="str">
        <f t="shared" si="18"/>
        <v>IDLE</v>
      </c>
      <c r="R275">
        <f t="shared" si="19"/>
        <v>0</v>
      </c>
    </row>
    <row r="276" spans="1:18" x14ac:dyDescent="0.2">
      <c r="A276" t="s">
        <v>14</v>
      </c>
      <c r="B276">
        <v>20231122</v>
      </c>
      <c r="C276">
        <v>100773.44</v>
      </c>
      <c r="D276">
        <v>100760.54</v>
      </c>
      <c r="E276">
        <v>1446</v>
      </c>
      <c r="F276">
        <v>1450</v>
      </c>
      <c r="G276" t="s">
        <v>287</v>
      </c>
      <c r="H276">
        <v>-12.900000000008699</v>
      </c>
      <c r="I276">
        <v>4</v>
      </c>
      <c r="J276" t="s">
        <v>15</v>
      </c>
      <c r="K276">
        <v>231.76</v>
      </c>
      <c r="L276">
        <v>232.03</v>
      </c>
      <c r="M276">
        <v>232.38</v>
      </c>
      <c r="N276">
        <v>232.18</v>
      </c>
      <c r="O276" s="1">
        <f t="shared" si="16"/>
        <v>1.1649982740766784E-3</v>
      </c>
      <c r="P276" s="1">
        <f t="shared" si="17"/>
        <v>1.5084256346162839E-3</v>
      </c>
      <c r="Q276" t="str">
        <f t="shared" si="18"/>
        <v>SELL</v>
      </c>
      <c r="R276">
        <f t="shared" si="19"/>
        <v>-12.900000000008699</v>
      </c>
    </row>
    <row r="277" spans="1:18" x14ac:dyDescent="0.2">
      <c r="A277" t="s">
        <v>14</v>
      </c>
      <c r="B277">
        <v>20231122</v>
      </c>
      <c r="C277">
        <v>100760.54</v>
      </c>
      <c r="D277">
        <v>100740.76</v>
      </c>
      <c r="E277">
        <v>1454</v>
      </c>
      <c r="F277">
        <v>1455</v>
      </c>
      <c r="G277" t="s">
        <v>288</v>
      </c>
      <c r="H277">
        <v>-19.7799999999988</v>
      </c>
      <c r="I277">
        <v>1</v>
      </c>
      <c r="J277" t="s">
        <v>15</v>
      </c>
      <c r="K277">
        <v>231.87</v>
      </c>
      <c r="L277">
        <v>232.48</v>
      </c>
      <c r="M277">
        <v>232.51</v>
      </c>
      <c r="N277">
        <v>232.71</v>
      </c>
      <c r="O277" s="1">
        <f t="shared" si="16"/>
        <v>2.6307844913098233E-3</v>
      </c>
      <c r="P277" s="1">
        <f t="shared" si="17"/>
        <v>1.2904335856855909E-4</v>
      </c>
      <c r="Q277" t="str">
        <f t="shared" si="18"/>
        <v>SELL</v>
      </c>
      <c r="R277">
        <f t="shared" si="19"/>
        <v>-19.7799999999988</v>
      </c>
    </row>
    <row r="278" spans="1:18" x14ac:dyDescent="0.2">
      <c r="A278" t="s">
        <v>14</v>
      </c>
      <c r="B278">
        <v>20231122</v>
      </c>
      <c r="C278">
        <v>100740.76</v>
      </c>
      <c r="D278">
        <v>100732.26</v>
      </c>
      <c r="E278">
        <v>1516</v>
      </c>
      <c r="F278">
        <v>1517</v>
      </c>
      <c r="G278" t="s">
        <v>289</v>
      </c>
      <c r="H278">
        <v>-8.5</v>
      </c>
      <c r="I278">
        <v>1</v>
      </c>
      <c r="J278" t="s">
        <v>15</v>
      </c>
      <c r="K278">
        <v>232.46</v>
      </c>
      <c r="L278">
        <v>232.81</v>
      </c>
      <c r="M278">
        <v>233.14</v>
      </c>
      <c r="N278">
        <v>232.91</v>
      </c>
      <c r="O278" s="1">
        <f t="shared" si="16"/>
        <v>1.5056353781295329E-3</v>
      </c>
      <c r="P278" s="1">
        <f t="shared" si="17"/>
        <v>1.4174648855289629E-3</v>
      </c>
      <c r="Q278" t="str">
        <f t="shared" si="18"/>
        <v>SELL</v>
      </c>
      <c r="R278">
        <f t="shared" si="19"/>
        <v>-8.5</v>
      </c>
    </row>
    <row r="279" spans="1:18" x14ac:dyDescent="0.2">
      <c r="A279" t="s">
        <v>14</v>
      </c>
      <c r="B279">
        <v>20231124</v>
      </c>
      <c r="C279">
        <v>100732.26</v>
      </c>
      <c r="D279">
        <v>100808.76</v>
      </c>
      <c r="E279">
        <v>947</v>
      </c>
      <c r="F279">
        <v>1016</v>
      </c>
      <c r="G279" t="s">
        <v>290</v>
      </c>
      <c r="H279">
        <v>76.5</v>
      </c>
      <c r="I279">
        <v>29</v>
      </c>
      <c r="J279" t="s">
        <v>16</v>
      </c>
      <c r="K279">
        <v>234.39</v>
      </c>
      <c r="L279">
        <v>234.55</v>
      </c>
      <c r="M279">
        <v>235.95</v>
      </c>
      <c r="N279">
        <v>235.45</v>
      </c>
      <c r="O279" s="1">
        <f t="shared" si="16"/>
        <v>6.8262297879617684E-4</v>
      </c>
      <c r="P279" s="1">
        <f t="shared" si="17"/>
        <v>5.9688765721592763E-3</v>
      </c>
      <c r="Q279" t="str">
        <f t="shared" si="18"/>
        <v>BUY</v>
      </c>
      <c r="R279">
        <f t="shared" si="19"/>
        <v>76.5</v>
      </c>
    </row>
    <row r="280" spans="1:18" x14ac:dyDescent="0.2">
      <c r="A280" t="s">
        <v>14</v>
      </c>
      <c r="B280">
        <v>20231124</v>
      </c>
      <c r="C280">
        <v>100808.76</v>
      </c>
      <c r="D280">
        <v>100760.88</v>
      </c>
      <c r="E280">
        <v>1020</v>
      </c>
      <c r="F280">
        <v>1022</v>
      </c>
      <c r="G280" t="s">
        <v>291</v>
      </c>
      <c r="H280">
        <v>-47.879999999990098</v>
      </c>
      <c r="I280">
        <v>2</v>
      </c>
      <c r="J280" t="s">
        <v>16</v>
      </c>
      <c r="K280">
        <v>235.13</v>
      </c>
      <c r="L280">
        <v>235.4</v>
      </c>
      <c r="M280">
        <v>236.43</v>
      </c>
      <c r="N280">
        <v>234.83</v>
      </c>
      <c r="O280" s="1">
        <f t="shared" si="16"/>
        <v>1.1483009399055888E-3</v>
      </c>
      <c r="P280" s="1">
        <f t="shared" si="17"/>
        <v>4.3755310110449308E-3</v>
      </c>
      <c r="Q280" t="str">
        <f t="shared" si="18"/>
        <v>IDLE</v>
      </c>
      <c r="R280">
        <f t="shared" si="19"/>
        <v>0</v>
      </c>
    </row>
    <row r="281" spans="1:18" x14ac:dyDescent="0.2">
      <c r="A281" t="s">
        <v>14</v>
      </c>
      <c r="B281">
        <v>20231124</v>
      </c>
      <c r="C281">
        <v>100760.88</v>
      </c>
      <c r="D281">
        <v>100741.33</v>
      </c>
      <c r="E281">
        <v>1026</v>
      </c>
      <c r="F281">
        <v>1027</v>
      </c>
      <c r="G281" t="s">
        <v>292</v>
      </c>
      <c r="H281">
        <v>-19.5500000000029</v>
      </c>
      <c r="I281">
        <v>1</v>
      </c>
      <c r="J281" t="s">
        <v>16</v>
      </c>
      <c r="K281">
        <v>234.85</v>
      </c>
      <c r="L281">
        <v>235</v>
      </c>
      <c r="M281">
        <v>235.48</v>
      </c>
      <c r="N281">
        <v>234.77</v>
      </c>
      <c r="O281" s="1">
        <f t="shared" si="16"/>
        <v>6.3870555673828378E-4</v>
      </c>
      <c r="P281" s="1">
        <f t="shared" si="17"/>
        <v>2.0425531914893824E-3</v>
      </c>
      <c r="Q281" t="str">
        <f t="shared" si="18"/>
        <v>IDLE</v>
      </c>
      <c r="R281">
        <f t="shared" si="19"/>
        <v>0</v>
      </c>
    </row>
    <row r="282" spans="1:18" x14ac:dyDescent="0.2">
      <c r="A282" t="s">
        <v>14</v>
      </c>
      <c r="B282">
        <v>20231124</v>
      </c>
      <c r="C282">
        <v>100741.33</v>
      </c>
      <c r="D282">
        <v>100872.37</v>
      </c>
      <c r="E282">
        <v>1038</v>
      </c>
      <c r="F282">
        <v>1119</v>
      </c>
      <c r="G282" t="s">
        <v>293</v>
      </c>
      <c r="H282">
        <v>131.039999999993</v>
      </c>
      <c r="I282">
        <v>41</v>
      </c>
      <c r="J282" t="s">
        <v>16</v>
      </c>
      <c r="K282">
        <v>235.46</v>
      </c>
      <c r="L282">
        <v>236.44</v>
      </c>
      <c r="M282">
        <v>236.39</v>
      </c>
      <c r="N282">
        <v>238</v>
      </c>
      <c r="O282" s="1">
        <f t="shared" si="16"/>
        <v>4.1620657436507447E-3</v>
      </c>
      <c r="P282" s="1">
        <f t="shared" si="17"/>
        <v>-2.1147014041622558E-4</v>
      </c>
      <c r="Q282" t="str">
        <f t="shared" si="18"/>
        <v>IDLE</v>
      </c>
      <c r="R282">
        <f t="shared" si="19"/>
        <v>0</v>
      </c>
    </row>
    <row r="283" spans="1:18" x14ac:dyDescent="0.2">
      <c r="A283" t="s">
        <v>14</v>
      </c>
      <c r="B283">
        <v>20231124</v>
      </c>
      <c r="C283">
        <v>100872.37</v>
      </c>
      <c r="D283">
        <v>100846.33</v>
      </c>
      <c r="E283">
        <v>1123</v>
      </c>
      <c r="F283">
        <v>1128</v>
      </c>
      <c r="G283" t="s">
        <v>294</v>
      </c>
      <c r="H283">
        <v>-26.039999999993501</v>
      </c>
      <c r="I283">
        <v>5</v>
      </c>
      <c r="J283" t="s">
        <v>16</v>
      </c>
      <c r="K283">
        <v>237.98</v>
      </c>
      <c r="L283">
        <v>238.04</v>
      </c>
      <c r="M283">
        <v>238.24</v>
      </c>
      <c r="N283">
        <v>237.73</v>
      </c>
      <c r="O283" s="1">
        <f t="shared" si="16"/>
        <v>2.5212202706104136E-4</v>
      </c>
      <c r="P283" s="1">
        <f t="shared" si="17"/>
        <v>8.4019492522280359E-4</v>
      </c>
      <c r="Q283" t="str">
        <f t="shared" si="18"/>
        <v>IDLE</v>
      </c>
      <c r="R283">
        <f t="shared" si="19"/>
        <v>0</v>
      </c>
    </row>
    <row r="284" spans="1:18" x14ac:dyDescent="0.2">
      <c r="A284" t="s">
        <v>14</v>
      </c>
      <c r="B284">
        <v>20231124</v>
      </c>
      <c r="C284">
        <v>100846.33</v>
      </c>
      <c r="D284">
        <v>100844.65</v>
      </c>
      <c r="E284">
        <v>1548</v>
      </c>
      <c r="F284">
        <v>1551</v>
      </c>
      <c r="G284" t="s">
        <v>295</v>
      </c>
      <c r="H284">
        <v>-1.6800000000075599</v>
      </c>
      <c r="I284">
        <v>3</v>
      </c>
      <c r="J284" t="s">
        <v>16</v>
      </c>
      <c r="K284">
        <v>235.51</v>
      </c>
      <c r="L284">
        <v>235.58</v>
      </c>
      <c r="M284">
        <v>235.66</v>
      </c>
      <c r="N284">
        <v>235.56</v>
      </c>
      <c r="O284" s="1">
        <f t="shared" si="16"/>
        <v>2.9722729395786907E-4</v>
      </c>
      <c r="P284" s="1">
        <f t="shared" si="17"/>
        <v>3.3958740130723974E-4</v>
      </c>
      <c r="Q284" t="str">
        <f t="shared" si="18"/>
        <v>IDLE</v>
      </c>
      <c r="R284">
        <f t="shared" si="19"/>
        <v>0</v>
      </c>
    </row>
    <row r="285" spans="1:18" x14ac:dyDescent="0.2">
      <c r="A285" t="s">
        <v>14</v>
      </c>
      <c r="B285">
        <v>20231127</v>
      </c>
      <c r="C285">
        <v>100844.65</v>
      </c>
      <c r="D285">
        <v>100769.85</v>
      </c>
      <c r="E285">
        <v>948</v>
      </c>
      <c r="F285">
        <v>951</v>
      </c>
      <c r="G285" t="s">
        <v>296</v>
      </c>
      <c r="H285">
        <v>-74.799999999988302</v>
      </c>
      <c r="I285">
        <v>3</v>
      </c>
      <c r="J285" t="s">
        <v>15</v>
      </c>
      <c r="K285">
        <v>232.55</v>
      </c>
      <c r="L285">
        <v>233.87</v>
      </c>
      <c r="M285">
        <v>233.92</v>
      </c>
      <c r="N285">
        <v>234.75</v>
      </c>
      <c r="O285" s="1">
        <f t="shared" si="16"/>
        <v>5.6761986669533471E-3</v>
      </c>
      <c r="P285" s="1">
        <f t="shared" si="17"/>
        <v>2.137939881130535E-4</v>
      </c>
      <c r="Q285" t="str">
        <f t="shared" si="18"/>
        <v>SELL</v>
      </c>
      <c r="R285">
        <f t="shared" si="19"/>
        <v>-74.799999999988302</v>
      </c>
    </row>
    <row r="286" spans="1:18" x14ac:dyDescent="0.2">
      <c r="A286" t="s">
        <v>14</v>
      </c>
      <c r="B286">
        <v>20231127</v>
      </c>
      <c r="C286">
        <v>100769.85</v>
      </c>
      <c r="D286">
        <v>100759.77</v>
      </c>
      <c r="E286">
        <v>1049</v>
      </c>
      <c r="F286">
        <v>1050</v>
      </c>
      <c r="G286" t="s">
        <v>297</v>
      </c>
      <c r="H286">
        <v>-10.0800000000017</v>
      </c>
      <c r="I286">
        <v>1</v>
      </c>
      <c r="J286" t="s">
        <v>16</v>
      </c>
      <c r="K286">
        <v>235.72</v>
      </c>
      <c r="L286">
        <v>235.86</v>
      </c>
      <c r="M286">
        <v>236.17</v>
      </c>
      <c r="N286">
        <v>235.74</v>
      </c>
      <c r="O286" s="1">
        <f t="shared" si="16"/>
        <v>5.9392499575783297E-4</v>
      </c>
      <c r="P286" s="1">
        <f t="shared" si="17"/>
        <v>1.3143390146697076E-3</v>
      </c>
      <c r="Q286" t="str">
        <f t="shared" si="18"/>
        <v>IDLE</v>
      </c>
      <c r="R286">
        <f t="shared" si="19"/>
        <v>0</v>
      </c>
    </row>
    <row r="287" spans="1:18" x14ac:dyDescent="0.2">
      <c r="A287" t="s">
        <v>14</v>
      </c>
      <c r="B287">
        <v>20231127</v>
      </c>
      <c r="C287">
        <v>100759.77</v>
      </c>
      <c r="D287">
        <v>100704.33</v>
      </c>
      <c r="E287">
        <v>1054</v>
      </c>
      <c r="F287">
        <v>1100</v>
      </c>
      <c r="G287" t="s">
        <v>298</v>
      </c>
      <c r="H287">
        <v>-55.4400000000023</v>
      </c>
      <c r="I287">
        <v>6</v>
      </c>
      <c r="J287" t="s">
        <v>16</v>
      </c>
      <c r="K287">
        <v>235.47</v>
      </c>
      <c r="L287">
        <v>235.39</v>
      </c>
      <c r="M287">
        <v>236.14</v>
      </c>
      <c r="N287">
        <v>234.73</v>
      </c>
      <c r="O287" s="1">
        <f t="shared" si="16"/>
        <v>-3.3974603983533136E-4</v>
      </c>
      <c r="P287" s="1">
        <f t="shared" si="17"/>
        <v>3.1862016228387802E-3</v>
      </c>
      <c r="Q287" t="str">
        <f t="shared" si="18"/>
        <v>IDLE</v>
      </c>
      <c r="R287">
        <f t="shared" si="19"/>
        <v>0</v>
      </c>
    </row>
    <row r="288" spans="1:18" x14ac:dyDescent="0.2">
      <c r="A288" t="s">
        <v>14</v>
      </c>
      <c r="B288">
        <v>20231127</v>
      </c>
      <c r="C288">
        <v>100704.33</v>
      </c>
      <c r="D288">
        <v>100917.68</v>
      </c>
      <c r="E288">
        <v>1139</v>
      </c>
      <c r="F288">
        <v>1319</v>
      </c>
      <c r="G288" t="s">
        <v>299</v>
      </c>
      <c r="H288">
        <v>213.34999999999101</v>
      </c>
      <c r="I288">
        <v>100</v>
      </c>
      <c r="J288" t="s">
        <v>16</v>
      </c>
      <c r="K288">
        <v>234.23</v>
      </c>
      <c r="L288">
        <v>234.91</v>
      </c>
      <c r="M288">
        <v>234.89</v>
      </c>
      <c r="N288">
        <v>237.42</v>
      </c>
      <c r="O288" s="1">
        <f t="shared" si="16"/>
        <v>2.9031294027237475E-3</v>
      </c>
      <c r="P288" s="1">
        <f t="shared" si="17"/>
        <v>-8.5138989400213028E-5</v>
      </c>
      <c r="Q288" t="str">
        <f t="shared" si="18"/>
        <v>IDLE</v>
      </c>
      <c r="R288">
        <f t="shared" si="19"/>
        <v>0</v>
      </c>
    </row>
    <row r="289" spans="1:18" x14ac:dyDescent="0.2">
      <c r="A289" t="s">
        <v>14</v>
      </c>
      <c r="B289">
        <v>20231128</v>
      </c>
      <c r="C289">
        <v>100917.68</v>
      </c>
      <c r="D289">
        <v>100914.32</v>
      </c>
      <c r="E289">
        <v>938</v>
      </c>
      <c r="F289">
        <v>941</v>
      </c>
      <c r="G289" t="s">
        <v>300</v>
      </c>
      <c r="H289">
        <v>-3.3599999999860302</v>
      </c>
      <c r="I289">
        <v>3</v>
      </c>
      <c r="J289" t="s">
        <v>16</v>
      </c>
      <c r="K289">
        <v>236.16</v>
      </c>
      <c r="L289">
        <v>237.87</v>
      </c>
      <c r="M289">
        <v>238.76</v>
      </c>
      <c r="N289">
        <v>237.83</v>
      </c>
      <c r="O289" s="1">
        <f t="shared" si="16"/>
        <v>7.2408536585366612E-3</v>
      </c>
      <c r="P289" s="1">
        <f t="shared" si="17"/>
        <v>3.7415394963635773E-3</v>
      </c>
      <c r="Q289" t="str">
        <f t="shared" si="18"/>
        <v>IDLE</v>
      </c>
      <c r="R289">
        <f t="shared" si="19"/>
        <v>0</v>
      </c>
    </row>
    <row r="290" spans="1:18" x14ac:dyDescent="0.2">
      <c r="A290" t="s">
        <v>14</v>
      </c>
      <c r="B290">
        <v>20231128</v>
      </c>
      <c r="C290">
        <v>100914.32</v>
      </c>
      <c r="D290">
        <v>100830.32</v>
      </c>
      <c r="E290">
        <v>945</v>
      </c>
      <c r="F290">
        <v>950</v>
      </c>
      <c r="G290" t="s">
        <v>301</v>
      </c>
      <c r="H290">
        <v>-84</v>
      </c>
      <c r="I290">
        <v>5</v>
      </c>
      <c r="J290" t="s">
        <v>16</v>
      </c>
      <c r="K290">
        <v>236.82</v>
      </c>
      <c r="L290">
        <v>236.86</v>
      </c>
      <c r="M290">
        <v>238.7</v>
      </c>
      <c r="N290">
        <v>235.86</v>
      </c>
      <c r="O290" s="1">
        <f t="shared" si="16"/>
        <v>1.6890465332330962E-4</v>
      </c>
      <c r="P290" s="1">
        <f t="shared" si="17"/>
        <v>7.7683019505192519E-3</v>
      </c>
      <c r="Q290" t="str">
        <f t="shared" si="18"/>
        <v>BUY</v>
      </c>
      <c r="R290">
        <f t="shared" si="19"/>
        <v>-84</v>
      </c>
    </row>
    <row r="291" spans="1:18" x14ac:dyDescent="0.2">
      <c r="A291" t="s">
        <v>14</v>
      </c>
      <c r="B291">
        <v>20231128</v>
      </c>
      <c r="C291">
        <v>100830.32</v>
      </c>
      <c r="D291">
        <v>100774.88</v>
      </c>
      <c r="E291">
        <v>1004</v>
      </c>
      <c r="F291">
        <v>1005</v>
      </c>
      <c r="G291" t="s">
        <v>302</v>
      </c>
      <c r="H291">
        <v>-55.4400000000023</v>
      </c>
      <c r="I291">
        <v>1</v>
      </c>
      <c r="J291" t="s">
        <v>15</v>
      </c>
      <c r="K291">
        <v>234.7</v>
      </c>
      <c r="L291">
        <v>235.4</v>
      </c>
      <c r="M291">
        <v>235.74</v>
      </c>
      <c r="N291">
        <v>236.06</v>
      </c>
      <c r="O291" s="1">
        <f t="shared" si="16"/>
        <v>2.9825308904984915E-3</v>
      </c>
      <c r="P291" s="1">
        <f t="shared" si="17"/>
        <v>1.4443500424810019E-3</v>
      </c>
      <c r="Q291" t="str">
        <f t="shared" si="18"/>
        <v>SELL</v>
      </c>
      <c r="R291">
        <f t="shared" si="19"/>
        <v>-55.4400000000023</v>
      </c>
    </row>
    <row r="292" spans="1:18" x14ac:dyDescent="0.2">
      <c r="A292" t="s">
        <v>14</v>
      </c>
      <c r="B292">
        <v>20231128</v>
      </c>
      <c r="C292">
        <v>100774.88</v>
      </c>
      <c r="D292">
        <v>100795.88</v>
      </c>
      <c r="E292">
        <v>1009</v>
      </c>
      <c r="F292">
        <v>1015</v>
      </c>
      <c r="G292" t="s">
        <v>303</v>
      </c>
      <c r="H292">
        <v>21</v>
      </c>
      <c r="I292">
        <v>6</v>
      </c>
      <c r="J292" t="s">
        <v>15</v>
      </c>
      <c r="K292">
        <v>235.16</v>
      </c>
      <c r="L292">
        <v>236.15</v>
      </c>
      <c r="M292">
        <v>236.14</v>
      </c>
      <c r="N292">
        <v>235.9</v>
      </c>
      <c r="O292" s="1">
        <f t="shared" si="16"/>
        <v>4.2098996427963886E-3</v>
      </c>
      <c r="P292" s="1">
        <f t="shared" si="17"/>
        <v>-4.2345966546730729E-5</v>
      </c>
      <c r="Q292" t="str">
        <f t="shared" si="18"/>
        <v>SELL</v>
      </c>
      <c r="R292">
        <f t="shared" si="19"/>
        <v>21</v>
      </c>
    </row>
    <row r="293" spans="1:18" x14ac:dyDescent="0.2">
      <c r="A293" t="s">
        <v>14</v>
      </c>
      <c r="B293">
        <v>20231128</v>
      </c>
      <c r="C293">
        <v>100795.88</v>
      </c>
      <c r="D293">
        <v>100812.68</v>
      </c>
      <c r="E293">
        <v>1019</v>
      </c>
      <c r="F293">
        <v>1028</v>
      </c>
      <c r="G293" t="s">
        <v>304</v>
      </c>
      <c r="H293">
        <v>16.799999999988302</v>
      </c>
      <c r="I293">
        <v>9</v>
      </c>
      <c r="J293" t="s">
        <v>15</v>
      </c>
      <c r="K293">
        <v>235.25</v>
      </c>
      <c r="L293">
        <v>236.1</v>
      </c>
      <c r="M293">
        <v>236.31</v>
      </c>
      <c r="N293">
        <v>235.9</v>
      </c>
      <c r="O293" s="1">
        <f t="shared" si="16"/>
        <v>3.6131774707757192E-3</v>
      </c>
      <c r="P293" s="1">
        <f t="shared" si="17"/>
        <v>8.8945362134684736E-4</v>
      </c>
      <c r="Q293" t="str">
        <f t="shared" si="18"/>
        <v>SELL</v>
      </c>
      <c r="R293">
        <f t="shared" si="19"/>
        <v>16.799999999988302</v>
      </c>
    </row>
    <row r="294" spans="1:18" x14ac:dyDescent="0.2">
      <c r="A294" t="s">
        <v>14</v>
      </c>
      <c r="B294">
        <v>20231128</v>
      </c>
      <c r="C294">
        <v>100812.68</v>
      </c>
      <c r="D294">
        <v>100760.83</v>
      </c>
      <c r="E294">
        <v>1032</v>
      </c>
      <c r="F294">
        <v>1039</v>
      </c>
      <c r="G294" t="s">
        <v>305</v>
      </c>
      <c r="H294">
        <v>-51.849999999991198</v>
      </c>
      <c r="I294">
        <v>7</v>
      </c>
      <c r="J294" t="s">
        <v>15</v>
      </c>
      <c r="K294">
        <v>234.91</v>
      </c>
      <c r="L294">
        <v>234.77</v>
      </c>
      <c r="M294">
        <v>236.01</v>
      </c>
      <c r="N294">
        <v>235.38</v>
      </c>
      <c r="O294" s="1">
        <f t="shared" si="16"/>
        <v>-5.9597292580126915E-4</v>
      </c>
      <c r="P294" s="1">
        <f t="shared" si="17"/>
        <v>5.2817651318310954E-3</v>
      </c>
      <c r="Q294" t="str">
        <f t="shared" si="18"/>
        <v>IDLE</v>
      </c>
      <c r="R294">
        <f t="shared" si="19"/>
        <v>0</v>
      </c>
    </row>
    <row r="295" spans="1:18" x14ac:dyDescent="0.2">
      <c r="A295" t="s">
        <v>14</v>
      </c>
      <c r="B295">
        <v>20231128</v>
      </c>
      <c r="C295">
        <v>100760.83</v>
      </c>
      <c r="D295">
        <v>100802.65</v>
      </c>
      <c r="E295">
        <v>1134</v>
      </c>
      <c r="F295">
        <v>1149</v>
      </c>
      <c r="G295" t="s">
        <v>306</v>
      </c>
      <c r="H295">
        <v>41.819999999992397</v>
      </c>
      <c r="I295">
        <v>15</v>
      </c>
      <c r="J295" t="s">
        <v>16</v>
      </c>
      <c r="K295">
        <v>240.79</v>
      </c>
      <c r="L295">
        <v>241.29</v>
      </c>
      <c r="M295">
        <v>241.35</v>
      </c>
      <c r="N295">
        <v>241.8</v>
      </c>
      <c r="O295" s="1">
        <f t="shared" si="16"/>
        <v>2.0764981934464632E-3</v>
      </c>
      <c r="P295" s="1">
        <f t="shared" si="17"/>
        <v>2.4866343404195135E-4</v>
      </c>
      <c r="Q295" t="str">
        <f t="shared" si="18"/>
        <v>IDLE</v>
      </c>
      <c r="R295">
        <f t="shared" si="19"/>
        <v>0</v>
      </c>
    </row>
    <row r="296" spans="1:18" x14ac:dyDescent="0.2">
      <c r="A296" t="s">
        <v>14</v>
      </c>
      <c r="B296">
        <v>20231128</v>
      </c>
      <c r="C296">
        <v>100802.65</v>
      </c>
      <c r="D296">
        <v>100787.07</v>
      </c>
      <c r="E296">
        <v>1153</v>
      </c>
      <c r="F296">
        <v>1154</v>
      </c>
      <c r="G296" t="s">
        <v>307</v>
      </c>
      <c r="H296">
        <v>-15.5799999999871</v>
      </c>
      <c r="I296">
        <v>1</v>
      </c>
      <c r="J296" t="s">
        <v>16</v>
      </c>
      <c r="K296">
        <v>241.73</v>
      </c>
      <c r="L296">
        <v>241.87</v>
      </c>
      <c r="M296">
        <v>242.44</v>
      </c>
      <c r="N296">
        <v>241.68</v>
      </c>
      <c r="O296" s="1">
        <f t="shared" si="16"/>
        <v>5.791585653416309E-4</v>
      </c>
      <c r="P296" s="1">
        <f t="shared" si="17"/>
        <v>2.3566378633150808E-3</v>
      </c>
      <c r="Q296" t="str">
        <f t="shared" si="18"/>
        <v>IDLE</v>
      </c>
      <c r="R296">
        <f t="shared" si="19"/>
        <v>0</v>
      </c>
    </row>
    <row r="297" spans="1:18" x14ac:dyDescent="0.2">
      <c r="A297" t="s">
        <v>14</v>
      </c>
      <c r="B297">
        <v>20231128</v>
      </c>
      <c r="C297">
        <v>100787.07</v>
      </c>
      <c r="D297">
        <v>100766.57</v>
      </c>
      <c r="E297">
        <v>1158</v>
      </c>
      <c r="F297">
        <v>1206</v>
      </c>
      <c r="G297" t="s">
        <v>308</v>
      </c>
      <c r="H297">
        <v>-20.5</v>
      </c>
      <c r="I297">
        <v>8</v>
      </c>
      <c r="J297" t="s">
        <v>16</v>
      </c>
      <c r="K297">
        <v>241.65</v>
      </c>
      <c r="L297">
        <v>241.84</v>
      </c>
      <c r="M297">
        <v>242.03</v>
      </c>
      <c r="N297">
        <v>241.59</v>
      </c>
      <c r="O297" s="1">
        <f t="shared" si="16"/>
        <v>7.8626112145663285E-4</v>
      </c>
      <c r="P297" s="1">
        <f t="shared" si="17"/>
        <v>7.8564340059550375E-4</v>
      </c>
      <c r="Q297" t="str">
        <f t="shared" si="18"/>
        <v>IDLE</v>
      </c>
      <c r="R297">
        <f t="shared" si="19"/>
        <v>0</v>
      </c>
    </row>
    <row r="298" spans="1:18" x14ac:dyDescent="0.2">
      <c r="A298" t="s">
        <v>14</v>
      </c>
      <c r="B298">
        <v>20231128</v>
      </c>
      <c r="C298">
        <v>100766.57</v>
      </c>
      <c r="D298">
        <v>100816.59</v>
      </c>
      <c r="E298">
        <v>1210</v>
      </c>
      <c r="F298">
        <v>1230</v>
      </c>
      <c r="G298" t="s">
        <v>309</v>
      </c>
      <c r="H298">
        <v>50.019999999989501</v>
      </c>
      <c r="I298">
        <v>20</v>
      </c>
      <c r="J298" t="s">
        <v>16</v>
      </c>
      <c r="K298">
        <v>241.49</v>
      </c>
      <c r="L298">
        <v>241.47</v>
      </c>
      <c r="M298">
        <v>241.75</v>
      </c>
      <c r="N298">
        <v>242.08</v>
      </c>
      <c r="O298" s="1">
        <f t="shared" si="16"/>
        <v>-8.2819164354708263E-5</v>
      </c>
      <c r="P298" s="1">
        <f t="shared" si="17"/>
        <v>1.1595643351141049E-3</v>
      </c>
      <c r="Q298" t="str">
        <f t="shared" si="18"/>
        <v>IDLE</v>
      </c>
      <c r="R298">
        <f t="shared" si="19"/>
        <v>0</v>
      </c>
    </row>
    <row r="299" spans="1:18" x14ac:dyDescent="0.2">
      <c r="A299" t="s">
        <v>14</v>
      </c>
      <c r="B299">
        <v>20231128</v>
      </c>
      <c r="C299">
        <v>100816.59</v>
      </c>
      <c r="D299">
        <v>100821.51</v>
      </c>
      <c r="E299">
        <v>1234</v>
      </c>
      <c r="F299">
        <v>1247</v>
      </c>
      <c r="G299" t="s">
        <v>310</v>
      </c>
      <c r="H299">
        <v>4.9199999999982502</v>
      </c>
      <c r="I299">
        <v>13</v>
      </c>
      <c r="J299" t="s">
        <v>16</v>
      </c>
      <c r="K299">
        <v>242.06</v>
      </c>
      <c r="L299">
        <v>242.25</v>
      </c>
      <c r="M299">
        <v>242.82</v>
      </c>
      <c r="N299">
        <v>242.31</v>
      </c>
      <c r="O299" s="1">
        <f t="shared" si="16"/>
        <v>7.8492935635798844E-4</v>
      </c>
      <c r="P299" s="1">
        <f t="shared" si="17"/>
        <v>2.3529411764706687E-3</v>
      </c>
      <c r="Q299" t="str">
        <f t="shared" si="18"/>
        <v>IDLE</v>
      </c>
      <c r="R299">
        <f t="shared" si="19"/>
        <v>0</v>
      </c>
    </row>
    <row r="300" spans="1:18" x14ac:dyDescent="0.2">
      <c r="A300" t="s">
        <v>14</v>
      </c>
      <c r="B300">
        <v>20231128</v>
      </c>
      <c r="C300">
        <v>100821.51</v>
      </c>
      <c r="D300">
        <v>100785.43</v>
      </c>
      <c r="E300">
        <v>1256</v>
      </c>
      <c r="F300">
        <v>1301</v>
      </c>
      <c r="G300" t="s">
        <v>311</v>
      </c>
      <c r="H300">
        <v>-36.080000000001696</v>
      </c>
      <c r="I300">
        <v>5</v>
      </c>
      <c r="J300" t="s">
        <v>16</v>
      </c>
      <c r="K300">
        <v>241.67</v>
      </c>
      <c r="L300">
        <v>243.24</v>
      </c>
      <c r="M300">
        <v>243.08</v>
      </c>
      <c r="N300">
        <v>242.8</v>
      </c>
      <c r="O300" s="1">
        <f t="shared" si="16"/>
        <v>6.4964621177638904E-3</v>
      </c>
      <c r="P300" s="1">
        <f t="shared" si="17"/>
        <v>-6.5778654826509353E-4</v>
      </c>
      <c r="Q300" t="str">
        <f t="shared" si="18"/>
        <v>IDLE</v>
      </c>
      <c r="R300">
        <f t="shared" si="19"/>
        <v>0</v>
      </c>
    </row>
    <row r="301" spans="1:18" x14ac:dyDescent="0.2">
      <c r="A301" t="s">
        <v>14</v>
      </c>
      <c r="B301">
        <v>20231128</v>
      </c>
      <c r="C301">
        <v>100785.43</v>
      </c>
      <c r="D301">
        <v>100910.89</v>
      </c>
      <c r="E301">
        <v>1321</v>
      </c>
      <c r="F301">
        <v>1350</v>
      </c>
      <c r="G301" t="s">
        <v>312</v>
      </c>
      <c r="H301">
        <v>125.460000000006</v>
      </c>
      <c r="I301">
        <v>29</v>
      </c>
      <c r="J301" t="s">
        <v>16</v>
      </c>
      <c r="K301">
        <v>241.71</v>
      </c>
      <c r="L301">
        <v>243.09</v>
      </c>
      <c r="M301">
        <v>243.2</v>
      </c>
      <c r="N301">
        <v>244.62</v>
      </c>
      <c r="O301" s="1">
        <f t="shared" si="16"/>
        <v>5.7093210872531941E-3</v>
      </c>
      <c r="P301" s="1">
        <f t="shared" si="17"/>
        <v>4.5250730182222476E-4</v>
      </c>
      <c r="Q301" t="str">
        <f t="shared" si="18"/>
        <v>IDLE</v>
      </c>
      <c r="R301">
        <f t="shared" si="19"/>
        <v>0</v>
      </c>
    </row>
    <row r="302" spans="1:18" x14ac:dyDescent="0.2">
      <c r="A302" t="s">
        <v>14</v>
      </c>
      <c r="B302">
        <v>20231128</v>
      </c>
      <c r="C302">
        <v>100910.89</v>
      </c>
      <c r="D302">
        <v>100895.5</v>
      </c>
      <c r="E302">
        <v>1354</v>
      </c>
      <c r="F302">
        <v>1356</v>
      </c>
      <c r="G302" t="s">
        <v>313</v>
      </c>
      <c r="H302">
        <v>-15.3899999999994</v>
      </c>
      <c r="I302">
        <v>2</v>
      </c>
      <c r="J302" t="s">
        <v>16</v>
      </c>
      <c r="K302">
        <v>244.65</v>
      </c>
      <c r="L302">
        <v>244.88</v>
      </c>
      <c r="M302">
        <v>245.22</v>
      </c>
      <c r="N302">
        <v>244.69</v>
      </c>
      <c r="O302" s="1">
        <f t="shared" si="16"/>
        <v>9.4011853668507506E-4</v>
      </c>
      <c r="P302" s="1">
        <f t="shared" si="17"/>
        <v>1.388435151911116E-3</v>
      </c>
      <c r="Q302" t="str">
        <f t="shared" si="18"/>
        <v>IDLE</v>
      </c>
      <c r="R302">
        <f t="shared" si="19"/>
        <v>0</v>
      </c>
    </row>
    <row r="303" spans="1:18" x14ac:dyDescent="0.2">
      <c r="A303" t="s">
        <v>14</v>
      </c>
      <c r="B303">
        <v>20231128</v>
      </c>
      <c r="C303">
        <v>100895.5</v>
      </c>
      <c r="D303">
        <v>100862.29</v>
      </c>
      <c r="E303">
        <v>1400</v>
      </c>
      <c r="F303">
        <v>1414</v>
      </c>
      <c r="G303" t="s">
        <v>314</v>
      </c>
      <c r="H303">
        <v>-33.210000000006403</v>
      </c>
      <c r="I303">
        <v>14</v>
      </c>
      <c r="J303" t="s">
        <v>16</v>
      </c>
      <c r="K303">
        <v>244.66</v>
      </c>
      <c r="L303">
        <v>245.34</v>
      </c>
      <c r="M303">
        <v>245.29</v>
      </c>
      <c r="N303">
        <v>244.93</v>
      </c>
      <c r="O303" s="1">
        <f t="shared" si="16"/>
        <v>2.7793672852121087E-3</v>
      </c>
      <c r="P303" s="1">
        <f t="shared" si="17"/>
        <v>-2.0379880981502563E-4</v>
      </c>
      <c r="Q303" t="str">
        <f t="shared" si="18"/>
        <v>IDLE</v>
      </c>
      <c r="R303">
        <f t="shared" si="19"/>
        <v>0</v>
      </c>
    </row>
    <row r="304" spans="1:18" x14ac:dyDescent="0.2">
      <c r="A304" t="s">
        <v>14</v>
      </c>
      <c r="B304">
        <v>20231128</v>
      </c>
      <c r="C304">
        <v>100862.29</v>
      </c>
      <c r="D304">
        <v>100844.47</v>
      </c>
      <c r="E304">
        <v>1418</v>
      </c>
      <c r="F304">
        <v>1423</v>
      </c>
      <c r="G304" t="s">
        <v>315</v>
      </c>
      <c r="H304">
        <v>-17.819999999992401</v>
      </c>
      <c r="I304">
        <v>5</v>
      </c>
      <c r="J304" t="s">
        <v>16</v>
      </c>
      <c r="K304">
        <v>244.89</v>
      </c>
      <c r="L304">
        <v>245.07</v>
      </c>
      <c r="M304">
        <v>245.54</v>
      </c>
      <c r="N304">
        <v>244.85</v>
      </c>
      <c r="O304" s="1">
        <f t="shared" si="16"/>
        <v>7.350238882763982E-4</v>
      </c>
      <c r="P304" s="1">
        <f t="shared" si="17"/>
        <v>1.9178193985391889E-3</v>
      </c>
      <c r="Q304" t="str">
        <f t="shared" si="18"/>
        <v>IDLE</v>
      </c>
      <c r="R304">
        <f t="shared" si="19"/>
        <v>0</v>
      </c>
    </row>
    <row r="305" spans="1:18" x14ac:dyDescent="0.2">
      <c r="A305" t="s">
        <v>14</v>
      </c>
      <c r="B305">
        <v>20231128</v>
      </c>
      <c r="C305">
        <v>100844.47</v>
      </c>
      <c r="D305">
        <v>100839.61</v>
      </c>
      <c r="E305">
        <v>1427</v>
      </c>
      <c r="F305">
        <v>1433</v>
      </c>
      <c r="G305" t="s">
        <v>316</v>
      </c>
      <c r="H305">
        <v>-4.8600000000005803</v>
      </c>
      <c r="I305">
        <v>6</v>
      </c>
      <c r="J305" t="s">
        <v>16</v>
      </c>
      <c r="K305">
        <v>244.89</v>
      </c>
      <c r="L305">
        <v>245.19</v>
      </c>
      <c r="M305">
        <v>245.51</v>
      </c>
      <c r="N305">
        <v>245.13</v>
      </c>
      <c r="O305" s="1">
        <f t="shared" si="16"/>
        <v>1.225039813794071E-3</v>
      </c>
      <c r="P305" s="1">
        <f t="shared" si="17"/>
        <v>1.3051103226069394E-3</v>
      </c>
      <c r="Q305" t="str">
        <f t="shared" si="18"/>
        <v>IDLE</v>
      </c>
      <c r="R305">
        <f t="shared" si="19"/>
        <v>0</v>
      </c>
    </row>
    <row r="306" spans="1:18" x14ac:dyDescent="0.2">
      <c r="A306" t="s">
        <v>14</v>
      </c>
      <c r="B306">
        <v>20231128</v>
      </c>
      <c r="C306">
        <v>100839.61</v>
      </c>
      <c r="D306">
        <v>100882.54</v>
      </c>
      <c r="E306">
        <v>1437</v>
      </c>
      <c r="F306">
        <v>1508</v>
      </c>
      <c r="G306" t="s">
        <v>317</v>
      </c>
      <c r="H306">
        <v>42.929999999993001</v>
      </c>
      <c r="I306">
        <v>31</v>
      </c>
      <c r="J306" t="s">
        <v>16</v>
      </c>
      <c r="K306">
        <v>245.02</v>
      </c>
      <c r="L306">
        <v>245.16</v>
      </c>
      <c r="M306">
        <v>245.5</v>
      </c>
      <c r="N306">
        <v>245.69</v>
      </c>
      <c r="O306" s="1">
        <f t="shared" si="16"/>
        <v>5.7138192800576526E-4</v>
      </c>
      <c r="P306" s="1">
        <f t="shared" si="17"/>
        <v>1.386849404470647E-3</v>
      </c>
      <c r="Q306" t="str">
        <f t="shared" si="18"/>
        <v>IDLE</v>
      </c>
      <c r="R306">
        <f t="shared" si="19"/>
        <v>0</v>
      </c>
    </row>
    <row r="307" spans="1:18" x14ac:dyDescent="0.2">
      <c r="A307" t="s">
        <v>14</v>
      </c>
      <c r="B307">
        <v>20231128</v>
      </c>
      <c r="C307">
        <v>100882.54</v>
      </c>
      <c r="D307">
        <v>100863.1</v>
      </c>
      <c r="E307">
        <v>1512</v>
      </c>
      <c r="F307">
        <v>1513</v>
      </c>
      <c r="G307" t="s">
        <v>318</v>
      </c>
      <c r="H307">
        <v>-19.439999999987698</v>
      </c>
      <c r="I307">
        <v>1</v>
      </c>
      <c r="J307" t="s">
        <v>16</v>
      </c>
      <c r="K307">
        <v>245.51</v>
      </c>
      <c r="L307">
        <v>245.67</v>
      </c>
      <c r="M307">
        <v>246.32</v>
      </c>
      <c r="N307">
        <v>245.43</v>
      </c>
      <c r="O307" s="1">
        <f t="shared" si="16"/>
        <v>6.5170461488328613E-4</v>
      </c>
      <c r="P307" s="1">
        <f t="shared" si="17"/>
        <v>2.6458257011439112E-3</v>
      </c>
      <c r="Q307" t="str">
        <f t="shared" si="18"/>
        <v>IDLE</v>
      </c>
      <c r="R307">
        <f t="shared" si="19"/>
        <v>0</v>
      </c>
    </row>
    <row r="308" spans="1:18" x14ac:dyDescent="0.2">
      <c r="A308" t="s">
        <v>14</v>
      </c>
      <c r="B308">
        <v>20231128</v>
      </c>
      <c r="C308">
        <v>100863.1</v>
      </c>
      <c r="D308">
        <v>100884.97</v>
      </c>
      <c r="E308">
        <v>1542</v>
      </c>
      <c r="F308">
        <v>1557</v>
      </c>
      <c r="G308" t="s">
        <v>319</v>
      </c>
      <c r="H308">
        <v>21.869999999995301</v>
      </c>
      <c r="I308">
        <v>15</v>
      </c>
      <c r="J308" t="s">
        <v>16</v>
      </c>
      <c r="K308">
        <v>245.72</v>
      </c>
      <c r="L308">
        <v>246.26</v>
      </c>
      <c r="M308">
        <v>246.17</v>
      </c>
      <c r="N308">
        <v>246.53</v>
      </c>
      <c r="O308" s="1">
        <f t="shared" si="16"/>
        <v>2.1976233110858612E-3</v>
      </c>
      <c r="P308" s="1">
        <f t="shared" si="17"/>
        <v>-3.6546739218712432E-4</v>
      </c>
      <c r="Q308" t="str">
        <f t="shared" si="18"/>
        <v>IDLE</v>
      </c>
      <c r="R308">
        <f t="shared" si="19"/>
        <v>0</v>
      </c>
    </row>
    <row r="309" spans="1:18" x14ac:dyDescent="0.2">
      <c r="A309" t="s">
        <v>14</v>
      </c>
      <c r="B309">
        <v>20231129</v>
      </c>
      <c r="C309">
        <v>100884.97</v>
      </c>
      <c r="D309">
        <v>100833.62</v>
      </c>
      <c r="E309">
        <v>933</v>
      </c>
      <c r="F309">
        <v>938</v>
      </c>
      <c r="G309" t="s">
        <v>320</v>
      </c>
      <c r="H309">
        <v>-51.350000000005799</v>
      </c>
      <c r="I309">
        <v>5</v>
      </c>
      <c r="J309" t="s">
        <v>16</v>
      </c>
      <c r="K309">
        <v>245.09</v>
      </c>
      <c r="L309">
        <v>251.76</v>
      </c>
      <c r="M309">
        <v>251.19</v>
      </c>
      <c r="N309">
        <v>251.11</v>
      </c>
      <c r="O309" s="1">
        <f t="shared" si="16"/>
        <v>2.7214492635358356E-2</v>
      </c>
      <c r="P309" s="1">
        <f t="shared" si="17"/>
        <v>-2.2640610104861514E-3</v>
      </c>
      <c r="Q309" t="str">
        <f t="shared" si="18"/>
        <v>IDLE</v>
      </c>
      <c r="R309">
        <f t="shared" si="19"/>
        <v>0</v>
      </c>
    </row>
    <row r="310" spans="1:18" x14ac:dyDescent="0.2">
      <c r="A310" t="s">
        <v>14</v>
      </c>
      <c r="B310">
        <v>20231129</v>
      </c>
      <c r="C310">
        <v>100833.62</v>
      </c>
      <c r="D310">
        <v>100689.84</v>
      </c>
      <c r="E310">
        <v>942</v>
      </c>
      <c r="F310">
        <v>945</v>
      </c>
      <c r="G310" t="s">
        <v>321</v>
      </c>
      <c r="H310">
        <v>-143.77999999999801</v>
      </c>
      <c r="I310">
        <v>3</v>
      </c>
      <c r="J310" t="s">
        <v>16</v>
      </c>
      <c r="K310">
        <v>250.71</v>
      </c>
      <c r="L310">
        <v>251.9</v>
      </c>
      <c r="M310">
        <v>251.96</v>
      </c>
      <c r="N310">
        <v>250.08</v>
      </c>
      <c r="O310" s="1">
        <f t="shared" si="16"/>
        <v>4.7465198835308087E-3</v>
      </c>
      <c r="P310" s="1">
        <f t="shared" si="17"/>
        <v>2.3818975784051233E-4</v>
      </c>
      <c r="Q310" t="str">
        <f t="shared" si="18"/>
        <v>IDLE</v>
      </c>
      <c r="R310">
        <f t="shared" si="19"/>
        <v>0</v>
      </c>
    </row>
    <row r="311" spans="1:18" x14ac:dyDescent="0.2">
      <c r="A311" t="s">
        <v>14</v>
      </c>
      <c r="B311">
        <v>20231129</v>
      </c>
      <c r="C311">
        <v>100689.84</v>
      </c>
      <c r="D311">
        <v>100705.64</v>
      </c>
      <c r="E311">
        <v>949</v>
      </c>
      <c r="F311">
        <v>1004</v>
      </c>
      <c r="G311" t="s">
        <v>322</v>
      </c>
      <c r="H311">
        <v>15.8000000000029</v>
      </c>
      <c r="I311">
        <v>15</v>
      </c>
      <c r="J311" t="s">
        <v>16</v>
      </c>
      <c r="K311">
        <v>250.01</v>
      </c>
      <c r="L311">
        <v>250.94</v>
      </c>
      <c r="M311">
        <v>251.86</v>
      </c>
      <c r="N311">
        <v>251.14</v>
      </c>
      <c r="O311" s="1">
        <f t="shared" si="16"/>
        <v>3.7198512059517519E-3</v>
      </c>
      <c r="P311" s="1">
        <f t="shared" si="17"/>
        <v>3.6662150314816788E-3</v>
      </c>
      <c r="Q311" t="str">
        <f t="shared" si="18"/>
        <v>IDLE</v>
      </c>
      <c r="R311">
        <f t="shared" si="19"/>
        <v>0</v>
      </c>
    </row>
    <row r="312" spans="1:18" x14ac:dyDescent="0.2">
      <c r="A312" t="s">
        <v>14</v>
      </c>
      <c r="B312">
        <v>20231129</v>
      </c>
      <c r="C312">
        <v>100705.64</v>
      </c>
      <c r="D312">
        <v>100636.04</v>
      </c>
      <c r="E312">
        <v>1047</v>
      </c>
      <c r="F312">
        <v>1049</v>
      </c>
      <c r="G312" t="s">
        <v>323</v>
      </c>
      <c r="H312">
        <v>-69.600000000005807</v>
      </c>
      <c r="I312">
        <v>2</v>
      </c>
      <c r="J312" t="s">
        <v>15</v>
      </c>
      <c r="K312">
        <v>247.61</v>
      </c>
      <c r="L312">
        <v>247.56</v>
      </c>
      <c r="M312">
        <v>249.82</v>
      </c>
      <c r="N312">
        <v>248.43</v>
      </c>
      <c r="O312" s="1">
        <f t="shared" si="16"/>
        <v>-2.0193045515126684E-4</v>
      </c>
      <c r="P312" s="1">
        <f t="shared" si="17"/>
        <v>9.1291000161577429E-3</v>
      </c>
      <c r="Q312" t="str">
        <f t="shared" si="18"/>
        <v>IDLE</v>
      </c>
      <c r="R312">
        <f t="shared" si="19"/>
        <v>0</v>
      </c>
    </row>
    <row r="313" spans="1:18" x14ac:dyDescent="0.2">
      <c r="A313" t="s">
        <v>14</v>
      </c>
      <c r="B313">
        <v>20231129</v>
      </c>
      <c r="C313">
        <v>100636.04</v>
      </c>
      <c r="D313">
        <v>100608.04</v>
      </c>
      <c r="E313">
        <v>1053</v>
      </c>
      <c r="F313">
        <v>1055</v>
      </c>
      <c r="G313" t="s">
        <v>324</v>
      </c>
      <c r="H313">
        <v>-28</v>
      </c>
      <c r="I313">
        <v>2</v>
      </c>
      <c r="J313" t="s">
        <v>15</v>
      </c>
      <c r="K313">
        <v>247.78</v>
      </c>
      <c r="L313">
        <v>248.93</v>
      </c>
      <c r="M313">
        <v>249.12</v>
      </c>
      <c r="N313">
        <v>249.28</v>
      </c>
      <c r="O313" s="1">
        <f t="shared" si="16"/>
        <v>4.6412139801437213E-3</v>
      </c>
      <c r="P313" s="1">
        <f t="shared" si="17"/>
        <v>7.6326678182625507E-4</v>
      </c>
      <c r="Q313" t="str">
        <f t="shared" si="18"/>
        <v>SELL</v>
      </c>
      <c r="R313">
        <f t="shared" si="19"/>
        <v>-28</v>
      </c>
    </row>
    <row r="314" spans="1:18" x14ac:dyDescent="0.2">
      <c r="A314" t="s">
        <v>14</v>
      </c>
      <c r="B314">
        <v>20231129</v>
      </c>
      <c r="C314">
        <v>100608.04</v>
      </c>
      <c r="D314">
        <v>100854.44</v>
      </c>
      <c r="E314">
        <v>1059</v>
      </c>
      <c r="F314">
        <v>1135</v>
      </c>
      <c r="G314" t="s">
        <v>325</v>
      </c>
      <c r="H314">
        <v>246.40000000000799</v>
      </c>
      <c r="I314">
        <v>36</v>
      </c>
      <c r="J314" t="s">
        <v>15</v>
      </c>
      <c r="K314">
        <v>248.77</v>
      </c>
      <c r="L314">
        <v>249.27</v>
      </c>
      <c r="M314">
        <v>249.44</v>
      </c>
      <c r="N314">
        <v>246.19</v>
      </c>
      <c r="O314" s="1">
        <f t="shared" si="16"/>
        <v>2.0098886521686676E-3</v>
      </c>
      <c r="P314" s="1">
        <f t="shared" si="17"/>
        <v>6.8199141493163751E-4</v>
      </c>
      <c r="Q314" t="str">
        <f t="shared" si="18"/>
        <v>SELL</v>
      </c>
      <c r="R314">
        <f t="shared" si="19"/>
        <v>246.40000000000799</v>
      </c>
    </row>
    <row r="315" spans="1:18" x14ac:dyDescent="0.2">
      <c r="A315" t="s">
        <v>14</v>
      </c>
      <c r="B315">
        <v>20231129</v>
      </c>
      <c r="C315">
        <v>100854.44</v>
      </c>
      <c r="D315">
        <v>100836.62</v>
      </c>
      <c r="E315">
        <v>1139</v>
      </c>
      <c r="F315">
        <v>1140</v>
      </c>
      <c r="G315" t="s">
        <v>326</v>
      </c>
      <c r="H315">
        <v>-17.8200000000069</v>
      </c>
      <c r="I315">
        <v>1</v>
      </c>
      <c r="J315" t="s">
        <v>15</v>
      </c>
      <c r="K315">
        <v>245.76</v>
      </c>
      <c r="L315">
        <v>246.75</v>
      </c>
      <c r="M315">
        <v>246.77</v>
      </c>
      <c r="N315">
        <v>246.97</v>
      </c>
      <c r="O315" s="1">
        <f t="shared" si="16"/>
        <v>4.0283203125E-3</v>
      </c>
      <c r="P315" s="1">
        <f t="shared" si="17"/>
        <v>8.1053698075095326E-5</v>
      </c>
      <c r="Q315" t="str">
        <f t="shared" si="18"/>
        <v>SELL</v>
      </c>
      <c r="R315">
        <f t="shared" si="19"/>
        <v>-17.8200000000069</v>
      </c>
    </row>
    <row r="316" spans="1:18" x14ac:dyDescent="0.2">
      <c r="A316" t="s">
        <v>14</v>
      </c>
      <c r="B316">
        <v>20231129</v>
      </c>
      <c r="C316">
        <v>100836.62</v>
      </c>
      <c r="D316">
        <v>100823.02</v>
      </c>
      <c r="E316">
        <v>1144</v>
      </c>
      <c r="F316">
        <v>1145</v>
      </c>
      <c r="G316" t="s">
        <v>327</v>
      </c>
      <c r="H316">
        <v>-13.5999999999912</v>
      </c>
      <c r="I316">
        <v>1</v>
      </c>
      <c r="J316" t="s">
        <v>15</v>
      </c>
      <c r="K316">
        <v>246.35</v>
      </c>
      <c r="L316">
        <v>247.14</v>
      </c>
      <c r="M316">
        <v>247.29</v>
      </c>
      <c r="N316">
        <v>247.31</v>
      </c>
      <c r="O316" s="1">
        <f t="shared" si="16"/>
        <v>3.2068195656584919E-3</v>
      </c>
      <c r="P316" s="1">
        <f t="shared" si="17"/>
        <v>6.0694343287215347E-4</v>
      </c>
      <c r="Q316" t="str">
        <f t="shared" si="18"/>
        <v>SELL</v>
      </c>
      <c r="R316">
        <f t="shared" si="19"/>
        <v>-13.5999999999912</v>
      </c>
    </row>
    <row r="317" spans="1:18" x14ac:dyDescent="0.2">
      <c r="A317" t="s">
        <v>14</v>
      </c>
      <c r="B317">
        <v>20231129</v>
      </c>
      <c r="C317">
        <v>100823.02</v>
      </c>
      <c r="D317">
        <v>100797.91</v>
      </c>
      <c r="E317">
        <v>1313</v>
      </c>
      <c r="F317">
        <v>1328</v>
      </c>
      <c r="G317" t="s">
        <v>328</v>
      </c>
      <c r="H317">
        <v>-25.1100000000005</v>
      </c>
      <c r="I317">
        <v>15</v>
      </c>
      <c r="J317" t="s">
        <v>15</v>
      </c>
      <c r="K317">
        <v>246.69</v>
      </c>
      <c r="L317">
        <v>246.83</v>
      </c>
      <c r="M317">
        <v>248.12</v>
      </c>
      <c r="N317">
        <v>247.14</v>
      </c>
      <c r="O317" s="1">
        <f t="shared" si="16"/>
        <v>5.6751388382192403E-4</v>
      </c>
      <c r="P317" s="1">
        <f t="shared" si="17"/>
        <v>5.2262690920876764E-3</v>
      </c>
      <c r="Q317" t="str">
        <f t="shared" si="18"/>
        <v>SELL</v>
      </c>
      <c r="R317">
        <f t="shared" si="19"/>
        <v>-25.1100000000005</v>
      </c>
    </row>
    <row r="318" spans="1:18" x14ac:dyDescent="0.2">
      <c r="A318" t="s">
        <v>14</v>
      </c>
      <c r="B318">
        <v>20231129</v>
      </c>
      <c r="C318">
        <v>100797.91</v>
      </c>
      <c r="D318">
        <v>100788.19</v>
      </c>
      <c r="E318">
        <v>1332</v>
      </c>
      <c r="F318">
        <v>1338</v>
      </c>
      <c r="G318" t="s">
        <v>329</v>
      </c>
      <c r="H318">
        <v>-9.7200000000011606</v>
      </c>
      <c r="I318">
        <v>6</v>
      </c>
      <c r="J318" t="s">
        <v>15</v>
      </c>
      <c r="K318">
        <v>246.51</v>
      </c>
      <c r="L318">
        <v>246.6</v>
      </c>
      <c r="M318">
        <v>247.17</v>
      </c>
      <c r="N318">
        <v>246.72</v>
      </c>
      <c r="O318" s="1">
        <f t="shared" si="16"/>
        <v>3.650967506390046E-4</v>
      </c>
      <c r="P318" s="1">
        <f t="shared" si="17"/>
        <v>2.3114355231144135E-3</v>
      </c>
      <c r="Q318" t="str">
        <f t="shared" si="18"/>
        <v>SELL</v>
      </c>
      <c r="R318">
        <f t="shared" si="19"/>
        <v>-9.7200000000011606</v>
      </c>
    </row>
    <row r="319" spans="1:18" x14ac:dyDescent="0.2">
      <c r="A319" t="s">
        <v>14</v>
      </c>
      <c r="B319">
        <v>20231129</v>
      </c>
      <c r="C319">
        <v>100788.19</v>
      </c>
      <c r="D319">
        <v>100779.28</v>
      </c>
      <c r="E319">
        <v>1342</v>
      </c>
      <c r="F319">
        <v>1343</v>
      </c>
      <c r="G319" t="s">
        <v>330</v>
      </c>
      <c r="H319">
        <v>-8.9100000000034907</v>
      </c>
      <c r="I319">
        <v>1</v>
      </c>
      <c r="J319" t="s">
        <v>15</v>
      </c>
      <c r="K319">
        <v>246</v>
      </c>
      <c r="L319">
        <v>246.91</v>
      </c>
      <c r="M319">
        <v>247.02</v>
      </c>
      <c r="N319">
        <v>247.02</v>
      </c>
      <c r="O319" s="1">
        <f t="shared" si="16"/>
        <v>3.699186991869885E-3</v>
      </c>
      <c r="P319" s="1">
        <f t="shared" si="17"/>
        <v>4.4550645984364756E-4</v>
      </c>
      <c r="Q319" t="str">
        <f t="shared" si="18"/>
        <v>SELL</v>
      </c>
      <c r="R319">
        <f t="shared" si="19"/>
        <v>-8.9100000000034907</v>
      </c>
    </row>
    <row r="320" spans="1:18" x14ac:dyDescent="0.2">
      <c r="A320" t="s">
        <v>14</v>
      </c>
      <c r="B320">
        <v>20231129</v>
      </c>
      <c r="C320">
        <v>100779.28</v>
      </c>
      <c r="D320">
        <v>100746.88</v>
      </c>
      <c r="E320">
        <v>1403</v>
      </c>
      <c r="F320">
        <v>1409</v>
      </c>
      <c r="G320" t="s">
        <v>331</v>
      </c>
      <c r="H320">
        <v>-32.399999999994101</v>
      </c>
      <c r="I320">
        <v>6</v>
      </c>
      <c r="J320" t="s">
        <v>15</v>
      </c>
      <c r="K320">
        <v>246.33</v>
      </c>
      <c r="L320">
        <v>246.17</v>
      </c>
      <c r="M320">
        <v>247.26</v>
      </c>
      <c r="N320">
        <v>246.57</v>
      </c>
      <c r="O320" s="1">
        <f t="shared" si="16"/>
        <v>-6.495351763895485E-4</v>
      </c>
      <c r="P320" s="1">
        <f t="shared" si="17"/>
        <v>4.4278344233659173E-3</v>
      </c>
      <c r="Q320" t="str">
        <f t="shared" si="18"/>
        <v>IDLE</v>
      </c>
      <c r="R320">
        <f t="shared" si="19"/>
        <v>0</v>
      </c>
    </row>
    <row r="321" spans="1:18" x14ac:dyDescent="0.2">
      <c r="A321" t="s">
        <v>14</v>
      </c>
      <c r="B321">
        <v>20231129</v>
      </c>
      <c r="C321">
        <v>100746.88</v>
      </c>
      <c r="D321">
        <v>100728.25</v>
      </c>
      <c r="E321">
        <v>1413</v>
      </c>
      <c r="F321">
        <v>1414</v>
      </c>
      <c r="G321" t="s">
        <v>332</v>
      </c>
      <c r="H321">
        <v>-18.6300000000046</v>
      </c>
      <c r="I321">
        <v>1</v>
      </c>
      <c r="J321" t="s">
        <v>15</v>
      </c>
      <c r="K321">
        <v>246.06</v>
      </c>
      <c r="L321">
        <v>246.72</v>
      </c>
      <c r="M321">
        <v>246.83</v>
      </c>
      <c r="N321">
        <v>246.95</v>
      </c>
      <c r="O321" s="1">
        <f t="shared" si="16"/>
        <v>2.6822726164350552E-3</v>
      </c>
      <c r="P321" s="1">
        <f t="shared" si="17"/>
        <v>4.4584954604420801E-4</v>
      </c>
      <c r="Q321" t="str">
        <f t="shared" si="18"/>
        <v>SELL</v>
      </c>
      <c r="R321">
        <f t="shared" si="19"/>
        <v>-18.6300000000046</v>
      </c>
    </row>
    <row r="322" spans="1:18" x14ac:dyDescent="0.2">
      <c r="A322" t="s">
        <v>14</v>
      </c>
      <c r="B322">
        <v>20231129</v>
      </c>
      <c r="C322">
        <v>100728.25</v>
      </c>
      <c r="D322">
        <v>100822.21</v>
      </c>
      <c r="E322">
        <v>1428</v>
      </c>
      <c r="F322">
        <v>1445</v>
      </c>
      <c r="G322" t="s">
        <v>333</v>
      </c>
      <c r="H322">
        <v>93.960000000006403</v>
      </c>
      <c r="I322">
        <v>17</v>
      </c>
      <c r="J322" t="s">
        <v>15</v>
      </c>
      <c r="K322">
        <v>246.52</v>
      </c>
      <c r="L322">
        <v>246.41</v>
      </c>
      <c r="M322">
        <v>247.46</v>
      </c>
      <c r="N322">
        <v>245.25</v>
      </c>
      <c r="O322" s="1">
        <f t="shared" si="16"/>
        <v>-4.4621126074972928E-4</v>
      </c>
      <c r="P322" s="1">
        <f t="shared" si="17"/>
        <v>4.2611906984295622E-3</v>
      </c>
      <c r="Q322" t="str">
        <f t="shared" si="18"/>
        <v>IDLE</v>
      </c>
      <c r="R322">
        <f t="shared" si="19"/>
        <v>0</v>
      </c>
    </row>
    <row r="323" spans="1:18" x14ac:dyDescent="0.2">
      <c r="A323" t="s">
        <v>14</v>
      </c>
      <c r="B323">
        <v>20231129</v>
      </c>
      <c r="C323">
        <v>100822.21</v>
      </c>
      <c r="D323">
        <v>100882.96</v>
      </c>
      <c r="E323">
        <v>1501</v>
      </c>
      <c r="F323">
        <v>1531</v>
      </c>
      <c r="G323" t="s">
        <v>334</v>
      </c>
      <c r="H323">
        <v>60.75</v>
      </c>
      <c r="I323">
        <v>30</v>
      </c>
      <c r="J323" t="s">
        <v>15</v>
      </c>
      <c r="K323">
        <v>244.53</v>
      </c>
      <c r="L323">
        <v>244.32</v>
      </c>
      <c r="M323">
        <v>245.7</v>
      </c>
      <c r="N323">
        <v>243.57</v>
      </c>
      <c r="O323" s="1">
        <f t="shared" si="16"/>
        <v>-8.5879033247460157E-4</v>
      </c>
      <c r="P323" s="1">
        <f t="shared" si="17"/>
        <v>5.6483300589391661E-3</v>
      </c>
      <c r="Q323" t="str">
        <f t="shared" si="18"/>
        <v>IDLE</v>
      </c>
      <c r="R323">
        <f t="shared" si="19"/>
        <v>0</v>
      </c>
    </row>
    <row r="324" spans="1:18" x14ac:dyDescent="0.2">
      <c r="A324" t="s">
        <v>14</v>
      </c>
      <c r="B324">
        <v>20231129</v>
      </c>
      <c r="C324">
        <v>100882.96</v>
      </c>
      <c r="D324">
        <v>100865.74</v>
      </c>
      <c r="E324">
        <v>1535</v>
      </c>
      <c r="F324">
        <v>1536</v>
      </c>
      <c r="G324" t="s">
        <v>335</v>
      </c>
      <c r="H324">
        <v>-17.2200000000011</v>
      </c>
      <c r="I324">
        <v>1</v>
      </c>
      <c r="J324" t="s">
        <v>15</v>
      </c>
      <c r="K324">
        <v>243.04</v>
      </c>
      <c r="L324">
        <v>243.6</v>
      </c>
      <c r="M324">
        <v>243.71</v>
      </c>
      <c r="N324">
        <v>243.81</v>
      </c>
      <c r="O324" s="1">
        <f t="shared" ref="O324:O387" si="20">(L324/K324)-1</f>
        <v>2.3041474654377225E-3</v>
      </c>
      <c r="P324" s="1">
        <f t="shared" ref="P324:P387" si="21">(M324/L324)-1</f>
        <v>4.5155993431866825E-4</v>
      </c>
      <c r="Q324" t="str">
        <f t="shared" ref="Q324:Q387" si="22">IF(J324="SELL",IF(O324&gt;=$O$1,"SELL","IDLE"),IF(P324&gt;=$P$1,"BUY","IDLE"))</f>
        <v>SELL</v>
      </c>
      <c r="R324">
        <f t="shared" ref="R324:R387" si="23">IF(Q324&lt;&gt;"IDLE",H324,0)</f>
        <v>-17.2200000000011</v>
      </c>
    </row>
    <row r="325" spans="1:18" x14ac:dyDescent="0.2">
      <c r="A325" t="s">
        <v>14</v>
      </c>
      <c r="B325">
        <v>20231129</v>
      </c>
      <c r="C325">
        <v>100865.74</v>
      </c>
      <c r="D325">
        <v>100835.4</v>
      </c>
      <c r="E325">
        <v>1540</v>
      </c>
      <c r="F325">
        <v>1541</v>
      </c>
      <c r="G325" t="s">
        <v>336</v>
      </c>
      <c r="H325">
        <v>-30.340000000010999</v>
      </c>
      <c r="I325">
        <v>1</v>
      </c>
      <c r="J325" t="s">
        <v>15</v>
      </c>
      <c r="K325">
        <v>243.28</v>
      </c>
      <c r="L325">
        <v>243.35</v>
      </c>
      <c r="M325">
        <v>243.79</v>
      </c>
      <c r="N325">
        <v>243.72</v>
      </c>
      <c r="O325" s="1">
        <f t="shared" si="20"/>
        <v>2.8773429792838812E-4</v>
      </c>
      <c r="P325" s="1">
        <f t="shared" si="21"/>
        <v>1.8080953359358443E-3</v>
      </c>
      <c r="Q325" t="str">
        <f t="shared" si="22"/>
        <v>SELL</v>
      </c>
      <c r="R325">
        <f t="shared" si="23"/>
        <v>-30.340000000010999</v>
      </c>
    </row>
    <row r="326" spans="1:18" x14ac:dyDescent="0.2">
      <c r="A326" t="s">
        <v>14</v>
      </c>
      <c r="B326">
        <v>20231129</v>
      </c>
      <c r="C326">
        <v>100835.4</v>
      </c>
      <c r="D326">
        <v>100787.02</v>
      </c>
      <c r="E326">
        <v>1545</v>
      </c>
      <c r="F326">
        <v>1549</v>
      </c>
      <c r="G326" t="s">
        <v>337</v>
      </c>
      <c r="H326">
        <v>-48.379999999990098</v>
      </c>
      <c r="I326">
        <v>4</v>
      </c>
      <c r="J326" t="s">
        <v>15</v>
      </c>
      <c r="K326">
        <v>243.3</v>
      </c>
      <c r="L326">
        <v>243.76</v>
      </c>
      <c r="M326">
        <v>243.97</v>
      </c>
      <c r="N326">
        <v>244.35</v>
      </c>
      <c r="O326" s="1">
        <f t="shared" si="20"/>
        <v>1.8906699547882599E-3</v>
      </c>
      <c r="P326" s="1">
        <f t="shared" si="21"/>
        <v>8.6150311782073885E-4</v>
      </c>
      <c r="Q326" t="str">
        <f t="shared" si="22"/>
        <v>SELL</v>
      </c>
      <c r="R326">
        <f t="shared" si="23"/>
        <v>-48.379999999990098</v>
      </c>
    </row>
    <row r="327" spans="1:18" x14ac:dyDescent="0.2">
      <c r="A327" t="s">
        <v>14</v>
      </c>
      <c r="B327">
        <v>20231130</v>
      </c>
      <c r="C327">
        <v>100787.02</v>
      </c>
      <c r="D327">
        <v>100915.76</v>
      </c>
      <c r="E327">
        <v>934</v>
      </c>
      <c r="F327">
        <v>944</v>
      </c>
      <c r="G327" t="s">
        <v>338</v>
      </c>
      <c r="H327">
        <v>128.73999999999</v>
      </c>
      <c r="I327">
        <v>10</v>
      </c>
      <c r="J327" t="s">
        <v>15</v>
      </c>
      <c r="K327">
        <v>241.93</v>
      </c>
      <c r="L327">
        <v>242.54</v>
      </c>
      <c r="M327">
        <v>244.64</v>
      </c>
      <c r="N327">
        <v>240.97</v>
      </c>
      <c r="O327" s="1">
        <f t="shared" si="20"/>
        <v>2.5213904848508939E-3</v>
      </c>
      <c r="P327" s="1">
        <f t="shared" si="21"/>
        <v>8.6583656304115575E-3</v>
      </c>
      <c r="Q327" t="str">
        <f t="shared" si="22"/>
        <v>SELL</v>
      </c>
      <c r="R327">
        <f t="shared" si="23"/>
        <v>128.73999999999</v>
      </c>
    </row>
    <row r="328" spans="1:18" x14ac:dyDescent="0.2">
      <c r="A328" t="s">
        <v>14</v>
      </c>
      <c r="B328">
        <v>20231130</v>
      </c>
      <c r="C328">
        <v>100915.76</v>
      </c>
      <c r="D328">
        <v>100867.38</v>
      </c>
      <c r="E328">
        <v>948</v>
      </c>
      <c r="F328">
        <v>951</v>
      </c>
      <c r="G328" t="s">
        <v>339</v>
      </c>
      <c r="H328">
        <v>-48.379999999990098</v>
      </c>
      <c r="I328">
        <v>3</v>
      </c>
      <c r="J328" t="s">
        <v>15</v>
      </c>
      <c r="K328">
        <v>239.88</v>
      </c>
      <c r="L328">
        <v>241.29</v>
      </c>
      <c r="M328">
        <v>241.16</v>
      </c>
      <c r="N328">
        <v>241.88</v>
      </c>
      <c r="O328" s="1">
        <f t="shared" si="20"/>
        <v>5.8779389694847417E-3</v>
      </c>
      <c r="P328" s="1">
        <f t="shared" si="21"/>
        <v>-5.3877077375774629E-4</v>
      </c>
      <c r="Q328" t="str">
        <f t="shared" si="22"/>
        <v>SELL</v>
      </c>
      <c r="R328">
        <f t="shared" si="23"/>
        <v>-48.379999999990098</v>
      </c>
    </row>
    <row r="329" spans="1:18" x14ac:dyDescent="0.2">
      <c r="A329" t="s">
        <v>14</v>
      </c>
      <c r="B329">
        <v>20231130</v>
      </c>
      <c r="C329">
        <v>100867.38</v>
      </c>
      <c r="D329">
        <v>100827.2</v>
      </c>
      <c r="E329">
        <v>955</v>
      </c>
      <c r="F329">
        <v>956</v>
      </c>
      <c r="G329" t="s">
        <v>340</v>
      </c>
      <c r="H329">
        <v>-40.180000000007503</v>
      </c>
      <c r="I329">
        <v>1</v>
      </c>
      <c r="J329" t="s">
        <v>15</v>
      </c>
      <c r="K329">
        <v>240.67</v>
      </c>
      <c r="L329">
        <v>241.76</v>
      </c>
      <c r="M329">
        <v>242.26</v>
      </c>
      <c r="N329">
        <v>242.25</v>
      </c>
      <c r="O329" s="1">
        <f t="shared" si="20"/>
        <v>4.5290231437238315E-3</v>
      </c>
      <c r="P329" s="1">
        <f t="shared" si="21"/>
        <v>2.0681667769688605E-3</v>
      </c>
      <c r="Q329" t="str">
        <f t="shared" si="22"/>
        <v>SELL</v>
      </c>
      <c r="R329">
        <f t="shared" si="23"/>
        <v>-40.180000000007503</v>
      </c>
    </row>
    <row r="330" spans="1:18" x14ac:dyDescent="0.2">
      <c r="A330" t="s">
        <v>14</v>
      </c>
      <c r="B330">
        <v>20231130</v>
      </c>
      <c r="C330">
        <v>100827.2</v>
      </c>
      <c r="D330">
        <v>100750.01</v>
      </c>
      <c r="E330">
        <v>1007</v>
      </c>
      <c r="F330">
        <v>1011</v>
      </c>
      <c r="G330" t="s">
        <v>341</v>
      </c>
      <c r="H330">
        <v>-77.1900000000023</v>
      </c>
      <c r="I330">
        <v>4</v>
      </c>
      <c r="J330" t="s">
        <v>15</v>
      </c>
      <c r="K330">
        <v>240.43</v>
      </c>
      <c r="L330">
        <v>240.96</v>
      </c>
      <c r="M330">
        <v>242.24</v>
      </c>
      <c r="N330">
        <v>241.89</v>
      </c>
      <c r="O330" s="1">
        <f t="shared" si="20"/>
        <v>2.2043838123362303E-3</v>
      </c>
      <c r="P330" s="1">
        <f t="shared" si="21"/>
        <v>5.312084993359889E-3</v>
      </c>
      <c r="Q330" t="str">
        <f t="shared" si="22"/>
        <v>SELL</v>
      </c>
      <c r="R330">
        <f t="shared" si="23"/>
        <v>-77.1900000000023</v>
      </c>
    </row>
    <row r="331" spans="1:18" x14ac:dyDescent="0.2">
      <c r="A331" t="s">
        <v>14</v>
      </c>
      <c r="B331">
        <v>20231130</v>
      </c>
      <c r="C331">
        <v>100750.01</v>
      </c>
      <c r="D331">
        <v>100816.41</v>
      </c>
      <c r="E331">
        <v>1117</v>
      </c>
      <c r="F331">
        <v>1136</v>
      </c>
      <c r="G331" t="s">
        <v>342</v>
      </c>
      <c r="H331">
        <v>66.400000000008703</v>
      </c>
      <c r="I331">
        <v>19</v>
      </c>
      <c r="J331" t="s">
        <v>15</v>
      </c>
      <c r="K331">
        <v>240.51</v>
      </c>
      <c r="L331">
        <v>240.72</v>
      </c>
      <c r="M331">
        <v>241.67</v>
      </c>
      <c r="N331">
        <v>239.92</v>
      </c>
      <c r="O331" s="1">
        <f t="shared" si="20"/>
        <v>8.7314456779341576E-4</v>
      </c>
      <c r="P331" s="1">
        <f t="shared" si="21"/>
        <v>3.9464938517779213E-3</v>
      </c>
      <c r="Q331" t="str">
        <f t="shared" si="22"/>
        <v>SELL</v>
      </c>
      <c r="R331">
        <f t="shared" si="23"/>
        <v>66.400000000008703</v>
      </c>
    </row>
    <row r="332" spans="1:18" x14ac:dyDescent="0.2">
      <c r="A332" t="s">
        <v>14</v>
      </c>
      <c r="B332">
        <v>20231130</v>
      </c>
      <c r="C332">
        <v>100816.41</v>
      </c>
      <c r="D332">
        <v>100794.83</v>
      </c>
      <c r="E332">
        <v>1140</v>
      </c>
      <c r="F332">
        <v>1141</v>
      </c>
      <c r="G332" t="s">
        <v>343</v>
      </c>
      <c r="H332">
        <v>-21.5800000000017</v>
      </c>
      <c r="I332">
        <v>1</v>
      </c>
      <c r="J332" t="s">
        <v>15</v>
      </c>
      <c r="K332">
        <v>239.35</v>
      </c>
      <c r="L332">
        <v>240.12</v>
      </c>
      <c r="M332">
        <v>240.04</v>
      </c>
      <c r="N332">
        <v>240.38</v>
      </c>
      <c r="O332" s="1">
        <f t="shared" si="20"/>
        <v>3.2170461667015982E-3</v>
      </c>
      <c r="P332" s="1">
        <f t="shared" si="21"/>
        <v>-3.3316674995842455E-4</v>
      </c>
      <c r="Q332" t="str">
        <f t="shared" si="22"/>
        <v>SELL</v>
      </c>
      <c r="R332">
        <f t="shared" si="23"/>
        <v>-21.5800000000017</v>
      </c>
    </row>
    <row r="333" spans="1:18" x14ac:dyDescent="0.2">
      <c r="A333" t="s">
        <v>14</v>
      </c>
      <c r="B333">
        <v>20231130</v>
      </c>
      <c r="C333">
        <v>100794.83</v>
      </c>
      <c r="D333">
        <v>100774.91</v>
      </c>
      <c r="E333">
        <v>1159</v>
      </c>
      <c r="F333">
        <v>1203</v>
      </c>
      <c r="G333" t="s">
        <v>344</v>
      </c>
      <c r="H333">
        <v>-19.9199999999982</v>
      </c>
      <c r="I333">
        <v>4</v>
      </c>
      <c r="J333" t="s">
        <v>15</v>
      </c>
      <c r="K333">
        <v>239.84</v>
      </c>
      <c r="L333">
        <v>239.72</v>
      </c>
      <c r="M333">
        <v>241.22</v>
      </c>
      <c r="N333">
        <v>239.96</v>
      </c>
      <c r="O333" s="1">
        <f t="shared" si="20"/>
        <v>-5.0033355570378024E-4</v>
      </c>
      <c r="P333" s="1">
        <f t="shared" si="21"/>
        <v>6.2573001835475317E-3</v>
      </c>
      <c r="Q333" t="str">
        <f t="shared" si="22"/>
        <v>IDLE</v>
      </c>
      <c r="R333">
        <f t="shared" si="23"/>
        <v>0</v>
      </c>
    </row>
    <row r="334" spans="1:18" x14ac:dyDescent="0.2">
      <c r="A334" t="s">
        <v>14</v>
      </c>
      <c r="B334">
        <v>20231130</v>
      </c>
      <c r="C334">
        <v>100774.91</v>
      </c>
      <c r="D334">
        <v>100765.78</v>
      </c>
      <c r="E334">
        <v>1207</v>
      </c>
      <c r="F334">
        <v>1214</v>
      </c>
      <c r="G334" t="s">
        <v>345</v>
      </c>
      <c r="H334">
        <v>-9.1300000000046495</v>
      </c>
      <c r="I334">
        <v>7</v>
      </c>
      <c r="J334" t="s">
        <v>15</v>
      </c>
      <c r="K334">
        <v>239.4</v>
      </c>
      <c r="L334">
        <v>240.31</v>
      </c>
      <c r="M334">
        <v>240.42</v>
      </c>
      <c r="N334">
        <v>240.42</v>
      </c>
      <c r="O334" s="1">
        <f t="shared" si="20"/>
        <v>3.8011695906432497E-3</v>
      </c>
      <c r="P334" s="1">
        <f t="shared" si="21"/>
        <v>4.5774208314264264E-4</v>
      </c>
      <c r="Q334" t="str">
        <f t="shared" si="22"/>
        <v>SELL</v>
      </c>
      <c r="R334">
        <f t="shared" si="23"/>
        <v>-9.1300000000046495</v>
      </c>
    </row>
    <row r="335" spans="1:18" x14ac:dyDescent="0.2">
      <c r="A335" t="s">
        <v>14</v>
      </c>
      <c r="B335">
        <v>20231130</v>
      </c>
      <c r="C335">
        <v>100765.78</v>
      </c>
      <c r="D335">
        <v>100743.37</v>
      </c>
      <c r="E335">
        <v>1218</v>
      </c>
      <c r="F335">
        <v>1230</v>
      </c>
      <c r="G335" t="s">
        <v>346</v>
      </c>
      <c r="H335">
        <v>-22.4100000000034</v>
      </c>
      <c r="I335">
        <v>12</v>
      </c>
      <c r="J335" t="s">
        <v>15</v>
      </c>
      <c r="K335">
        <v>239.57</v>
      </c>
      <c r="L335">
        <v>240.13</v>
      </c>
      <c r="M335">
        <v>240.54</v>
      </c>
      <c r="N335">
        <v>240.4</v>
      </c>
      <c r="O335" s="1">
        <f t="shared" si="20"/>
        <v>2.33752139249499E-3</v>
      </c>
      <c r="P335" s="1">
        <f t="shared" si="21"/>
        <v>1.7074084870694062E-3</v>
      </c>
      <c r="Q335" t="str">
        <f t="shared" si="22"/>
        <v>SELL</v>
      </c>
      <c r="R335">
        <f t="shared" si="23"/>
        <v>-22.4100000000034</v>
      </c>
    </row>
    <row r="336" spans="1:18" x14ac:dyDescent="0.2">
      <c r="A336" t="s">
        <v>14</v>
      </c>
      <c r="B336">
        <v>20231130</v>
      </c>
      <c r="C336">
        <v>100743.37</v>
      </c>
      <c r="D336">
        <v>100848.78</v>
      </c>
      <c r="E336">
        <v>1306</v>
      </c>
      <c r="F336">
        <v>1355</v>
      </c>
      <c r="G336" t="s">
        <v>347</v>
      </c>
      <c r="H336">
        <v>105.410000000003</v>
      </c>
      <c r="I336">
        <v>49</v>
      </c>
      <c r="J336" t="s">
        <v>15</v>
      </c>
      <c r="K336">
        <v>240.64</v>
      </c>
      <c r="L336">
        <v>240.29</v>
      </c>
      <c r="M336">
        <v>241.6</v>
      </c>
      <c r="N336">
        <v>239.02</v>
      </c>
      <c r="O336" s="1">
        <f t="shared" si="20"/>
        <v>-1.4544547872340496E-3</v>
      </c>
      <c r="P336" s="1">
        <f t="shared" si="21"/>
        <v>5.4517458071496883E-3</v>
      </c>
      <c r="Q336" t="str">
        <f t="shared" si="22"/>
        <v>IDLE</v>
      </c>
      <c r="R336">
        <f t="shared" si="23"/>
        <v>0</v>
      </c>
    </row>
    <row r="337" spans="1:18" x14ac:dyDescent="0.2">
      <c r="A337" t="s">
        <v>14</v>
      </c>
      <c r="B337">
        <v>20231130</v>
      </c>
      <c r="C337">
        <v>100848.78</v>
      </c>
      <c r="D337">
        <v>100830.52</v>
      </c>
      <c r="E337">
        <v>1359</v>
      </c>
      <c r="F337">
        <v>1400</v>
      </c>
      <c r="G337" t="s">
        <v>348</v>
      </c>
      <c r="H337">
        <v>-18.259999999994701</v>
      </c>
      <c r="I337">
        <v>1</v>
      </c>
      <c r="J337" t="s">
        <v>15</v>
      </c>
      <c r="K337">
        <v>238.33</v>
      </c>
      <c r="L337">
        <v>239.06</v>
      </c>
      <c r="M337">
        <v>239.25</v>
      </c>
      <c r="N337">
        <v>239.28</v>
      </c>
      <c r="O337" s="1">
        <f t="shared" si="20"/>
        <v>3.0629799018166981E-3</v>
      </c>
      <c r="P337" s="1">
        <f t="shared" si="21"/>
        <v>7.9477955325013561E-4</v>
      </c>
      <c r="Q337" t="str">
        <f t="shared" si="22"/>
        <v>SELL</v>
      </c>
      <c r="R337">
        <f t="shared" si="23"/>
        <v>-18.259999999994701</v>
      </c>
    </row>
    <row r="338" spans="1:18" x14ac:dyDescent="0.2">
      <c r="A338" t="s">
        <v>14</v>
      </c>
      <c r="B338">
        <v>20231130</v>
      </c>
      <c r="C338">
        <v>100830.52</v>
      </c>
      <c r="D338">
        <v>100827.2</v>
      </c>
      <c r="E338">
        <v>1513</v>
      </c>
      <c r="F338">
        <v>1520</v>
      </c>
      <c r="G338" t="s">
        <v>349</v>
      </c>
      <c r="H338">
        <v>-3.32000000000698</v>
      </c>
      <c r="I338">
        <v>7</v>
      </c>
      <c r="J338" t="s">
        <v>15</v>
      </c>
      <c r="K338">
        <v>239.58</v>
      </c>
      <c r="L338">
        <v>239.99</v>
      </c>
      <c r="M338">
        <v>240.29</v>
      </c>
      <c r="N338">
        <v>240.03</v>
      </c>
      <c r="O338" s="1">
        <f t="shared" si="20"/>
        <v>1.7113281576091044E-3</v>
      </c>
      <c r="P338" s="1">
        <f t="shared" si="21"/>
        <v>1.2500520855034392E-3</v>
      </c>
      <c r="Q338" t="str">
        <f t="shared" si="22"/>
        <v>SELL</v>
      </c>
      <c r="R338">
        <f t="shared" si="23"/>
        <v>-3.32000000000698</v>
      </c>
    </row>
    <row r="339" spans="1:18" x14ac:dyDescent="0.2">
      <c r="A339" t="s">
        <v>14</v>
      </c>
      <c r="B339">
        <v>20231130</v>
      </c>
      <c r="C339">
        <v>100827.2</v>
      </c>
      <c r="D339">
        <v>100823.05</v>
      </c>
      <c r="E339">
        <v>1524</v>
      </c>
      <c r="F339">
        <v>1528</v>
      </c>
      <c r="G339" t="s">
        <v>350</v>
      </c>
      <c r="H339">
        <v>-4.1499999999941704</v>
      </c>
      <c r="I339">
        <v>4</v>
      </c>
      <c r="J339" t="s">
        <v>15</v>
      </c>
      <c r="K339">
        <v>239.54</v>
      </c>
      <c r="L339">
        <v>239.66</v>
      </c>
      <c r="M339">
        <v>240.05</v>
      </c>
      <c r="N339">
        <v>239.71</v>
      </c>
      <c r="O339" s="1">
        <f t="shared" si="20"/>
        <v>5.009601736662983E-4</v>
      </c>
      <c r="P339" s="1">
        <f t="shared" si="21"/>
        <v>1.6273053492448231E-3</v>
      </c>
      <c r="Q339" t="str">
        <f t="shared" si="22"/>
        <v>SELL</v>
      </c>
      <c r="R339">
        <f t="shared" si="23"/>
        <v>-4.1499999999941704</v>
      </c>
    </row>
    <row r="340" spans="1:18" x14ac:dyDescent="0.2">
      <c r="A340" t="s">
        <v>14</v>
      </c>
      <c r="B340">
        <v>20231130</v>
      </c>
      <c r="C340">
        <v>100823.05</v>
      </c>
      <c r="D340">
        <v>100810.6</v>
      </c>
      <c r="E340">
        <v>1532</v>
      </c>
      <c r="F340">
        <v>1544</v>
      </c>
      <c r="G340" t="s">
        <v>351</v>
      </c>
      <c r="H340">
        <v>-12.449999999997001</v>
      </c>
      <c r="I340">
        <v>12</v>
      </c>
      <c r="J340" t="s">
        <v>15</v>
      </c>
      <c r="K340">
        <v>239.19</v>
      </c>
      <c r="L340">
        <v>239.97</v>
      </c>
      <c r="M340">
        <v>240.04</v>
      </c>
      <c r="N340">
        <v>240.12</v>
      </c>
      <c r="O340" s="1">
        <f t="shared" si="20"/>
        <v>3.261005894895197E-3</v>
      </c>
      <c r="P340" s="1">
        <f t="shared" si="21"/>
        <v>2.9170312955772992E-4</v>
      </c>
      <c r="Q340" t="str">
        <f t="shared" si="22"/>
        <v>SELL</v>
      </c>
      <c r="R340">
        <f t="shared" si="23"/>
        <v>-12.449999999997001</v>
      </c>
    </row>
    <row r="341" spans="1:18" x14ac:dyDescent="0.2">
      <c r="A341" t="s">
        <v>14</v>
      </c>
      <c r="B341">
        <v>20231130</v>
      </c>
      <c r="C341">
        <v>100810.6</v>
      </c>
      <c r="D341">
        <v>100815.58</v>
      </c>
      <c r="E341">
        <v>1548</v>
      </c>
      <c r="F341">
        <v>1550</v>
      </c>
      <c r="G341" t="s">
        <v>352</v>
      </c>
      <c r="H341">
        <v>4.9799999999959201</v>
      </c>
      <c r="I341">
        <v>2</v>
      </c>
      <c r="J341" t="s">
        <v>15</v>
      </c>
      <c r="K341">
        <v>239.13</v>
      </c>
      <c r="L341">
        <v>238.88</v>
      </c>
      <c r="M341">
        <v>240.1</v>
      </c>
      <c r="N341">
        <v>238.82</v>
      </c>
      <c r="O341" s="1">
        <f t="shared" si="20"/>
        <v>-1.0454564462843985E-3</v>
      </c>
      <c r="P341" s="1">
        <f t="shared" si="21"/>
        <v>5.1071667782986996E-3</v>
      </c>
      <c r="Q341" t="str">
        <f t="shared" si="22"/>
        <v>IDLE</v>
      </c>
      <c r="R341">
        <f t="shared" si="23"/>
        <v>0</v>
      </c>
    </row>
    <row r="342" spans="1:18" x14ac:dyDescent="0.2">
      <c r="A342" t="s">
        <v>14</v>
      </c>
      <c r="B342">
        <v>20231201</v>
      </c>
      <c r="C342">
        <v>100815.58</v>
      </c>
      <c r="D342">
        <v>100720.38</v>
      </c>
      <c r="E342">
        <v>933</v>
      </c>
      <c r="F342">
        <v>937</v>
      </c>
      <c r="G342" t="s">
        <v>353</v>
      </c>
      <c r="H342">
        <v>-95.199999999997004</v>
      </c>
      <c r="I342">
        <v>4</v>
      </c>
      <c r="J342" t="s">
        <v>15</v>
      </c>
      <c r="K342">
        <v>233.25</v>
      </c>
      <c r="L342">
        <v>233.25</v>
      </c>
      <c r="M342">
        <v>242.17</v>
      </c>
      <c r="N342">
        <v>234.37</v>
      </c>
      <c r="O342" s="1">
        <f t="shared" si="20"/>
        <v>0</v>
      </c>
      <c r="P342" s="1">
        <f t="shared" si="21"/>
        <v>3.824222936763122E-2</v>
      </c>
      <c r="Q342" t="str">
        <f t="shared" si="22"/>
        <v>IDLE</v>
      </c>
      <c r="R342">
        <f t="shared" si="23"/>
        <v>0</v>
      </c>
    </row>
    <row r="343" spans="1:18" x14ac:dyDescent="0.2">
      <c r="A343" t="s">
        <v>14</v>
      </c>
      <c r="B343">
        <v>20231201</v>
      </c>
      <c r="C343">
        <v>100720.38</v>
      </c>
      <c r="D343">
        <v>100712.73</v>
      </c>
      <c r="E343">
        <v>941</v>
      </c>
      <c r="F343">
        <v>943</v>
      </c>
      <c r="G343" t="s">
        <v>354</v>
      </c>
      <c r="H343">
        <v>-7.6500000000087303</v>
      </c>
      <c r="I343">
        <v>2</v>
      </c>
      <c r="J343" t="s">
        <v>15</v>
      </c>
      <c r="K343">
        <v>232.69</v>
      </c>
      <c r="L343">
        <v>233.75</v>
      </c>
      <c r="M343">
        <v>234.56</v>
      </c>
      <c r="N343">
        <v>233.84</v>
      </c>
      <c r="O343" s="1">
        <f t="shared" si="20"/>
        <v>4.5554170785164771E-3</v>
      </c>
      <c r="P343" s="1">
        <f t="shared" si="21"/>
        <v>3.4652406417112758E-3</v>
      </c>
      <c r="Q343" t="str">
        <f t="shared" si="22"/>
        <v>SELL</v>
      </c>
      <c r="R343">
        <f t="shared" si="23"/>
        <v>-7.6500000000087303</v>
      </c>
    </row>
    <row r="344" spans="1:18" x14ac:dyDescent="0.2">
      <c r="A344" t="s">
        <v>14</v>
      </c>
      <c r="B344">
        <v>20231201</v>
      </c>
      <c r="C344">
        <v>100712.73</v>
      </c>
      <c r="D344">
        <v>100729.73</v>
      </c>
      <c r="E344">
        <v>947</v>
      </c>
      <c r="F344">
        <v>951</v>
      </c>
      <c r="G344" t="s">
        <v>355</v>
      </c>
      <c r="H344">
        <v>17</v>
      </c>
      <c r="I344">
        <v>4</v>
      </c>
      <c r="J344" t="s">
        <v>15</v>
      </c>
      <c r="K344">
        <v>233.31</v>
      </c>
      <c r="L344">
        <v>234.41</v>
      </c>
      <c r="M344">
        <v>234.61</v>
      </c>
      <c r="N344">
        <v>234.21</v>
      </c>
      <c r="O344" s="1">
        <f t="shared" si="20"/>
        <v>4.7147571900045815E-3</v>
      </c>
      <c r="P344" s="1">
        <f t="shared" si="21"/>
        <v>8.5320592124915606E-4</v>
      </c>
      <c r="Q344" t="str">
        <f t="shared" si="22"/>
        <v>SELL</v>
      </c>
      <c r="R344">
        <f t="shared" si="23"/>
        <v>17</v>
      </c>
    </row>
    <row r="345" spans="1:18" x14ac:dyDescent="0.2">
      <c r="A345" t="s">
        <v>14</v>
      </c>
      <c r="B345">
        <v>20231201</v>
      </c>
      <c r="C345">
        <v>100729.73</v>
      </c>
      <c r="D345">
        <v>100700.83</v>
      </c>
      <c r="E345">
        <v>955</v>
      </c>
      <c r="F345">
        <v>956</v>
      </c>
      <c r="G345" t="s">
        <v>356</v>
      </c>
      <c r="H345">
        <v>-28.899999999994101</v>
      </c>
      <c r="I345">
        <v>1</v>
      </c>
      <c r="J345" t="s">
        <v>15</v>
      </c>
      <c r="K345">
        <v>233.61</v>
      </c>
      <c r="L345">
        <v>235.13</v>
      </c>
      <c r="M345">
        <v>235.07</v>
      </c>
      <c r="N345">
        <v>235.47</v>
      </c>
      <c r="O345" s="1">
        <f t="shared" si="20"/>
        <v>6.5065707803604322E-3</v>
      </c>
      <c r="P345" s="1">
        <f t="shared" si="21"/>
        <v>-2.5517798664564939E-4</v>
      </c>
      <c r="Q345" t="str">
        <f t="shared" si="22"/>
        <v>SELL</v>
      </c>
      <c r="R345">
        <f t="shared" si="23"/>
        <v>-28.899999999994101</v>
      </c>
    </row>
    <row r="346" spans="1:18" x14ac:dyDescent="0.2">
      <c r="A346" t="s">
        <v>14</v>
      </c>
      <c r="B346">
        <v>20231201</v>
      </c>
      <c r="C346">
        <v>100700.83</v>
      </c>
      <c r="D346">
        <v>100626.88</v>
      </c>
      <c r="E346">
        <v>1000</v>
      </c>
      <c r="F346">
        <v>1008</v>
      </c>
      <c r="G346" t="s">
        <v>357</v>
      </c>
      <c r="H346">
        <v>-73.949999999997004</v>
      </c>
      <c r="I346">
        <v>8</v>
      </c>
      <c r="J346" t="s">
        <v>15</v>
      </c>
      <c r="K346">
        <v>234.15</v>
      </c>
      <c r="L346">
        <v>235.05</v>
      </c>
      <c r="M346">
        <v>235.48</v>
      </c>
      <c r="N346">
        <v>235.92</v>
      </c>
      <c r="O346" s="1">
        <f t="shared" si="20"/>
        <v>3.8436899423446302E-3</v>
      </c>
      <c r="P346" s="1">
        <f t="shared" si="21"/>
        <v>1.829398000425364E-3</v>
      </c>
      <c r="Q346" t="str">
        <f t="shared" si="22"/>
        <v>SELL</v>
      </c>
      <c r="R346">
        <f t="shared" si="23"/>
        <v>-73.949999999997004</v>
      </c>
    </row>
    <row r="347" spans="1:18" x14ac:dyDescent="0.2">
      <c r="A347" t="s">
        <v>14</v>
      </c>
      <c r="B347">
        <v>20231201</v>
      </c>
      <c r="C347">
        <v>100626.88</v>
      </c>
      <c r="D347">
        <v>100705.84</v>
      </c>
      <c r="E347">
        <v>1012</v>
      </c>
      <c r="F347">
        <v>1023</v>
      </c>
      <c r="G347" t="s">
        <v>358</v>
      </c>
      <c r="H347">
        <v>78.959999999991794</v>
      </c>
      <c r="I347">
        <v>11</v>
      </c>
      <c r="J347" t="s">
        <v>15</v>
      </c>
      <c r="K347">
        <v>235.01</v>
      </c>
      <c r="L347">
        <v>235.54</v>
      </c>
      <c r="M347">
        <v>235.84</v>
      </c>
      <c r="N347">
        <v>234.6</v>
      </c>
      <c r="O347" s="1">
        <f t="shared" si="20"/>
        <v>2.2552231819923385E-3</v>
      </c>
      <c r="P347" s="1">
        <f t="shared" si="21"/>
        <v>1.2736690158785535E-3</v>
      </c>
      <c r="Q347" t="str">
        <f t="shared" si="22"/>
        <v>SELL</v>
      </c>
      <c r="R347">
        <f t="shared" si="23"/>
        <v>78.959999999991794</v>
      </c>
    </row>
    <row r="348" spans="1:18" x14ac:dyDescent="0.2">
      <c r="A348" t="s">
        <v>14</v>
      </c>
      <c r="B348">
        <v>20231201</v>
      </c>
      <c r="C348">
        <v>100705.84</v>
      </c>
      <c r="D348">
        <v>100708.39</v>
      </c>
      <c r="E348">
        <v>1027</v>
      </c>
      <c r="F348">
        <v>1031</v>
      </c>
      <c r="G348" t="s">
        <v>359</v>
      </c>
      <c r="H348">
        <v>2.5500000000029099</v>
      </c>
      <c r="I348">
        <v>4</v>
      </c>
      <c r="J348" t="s">
        <v>15</v>
      </c>
      <c r="K348">
        <v>233.58</v>
      </c>
      <c r="L348">
        <v>233.39</v>
      </c>
      <c r="M348">
        <v>234.53</v>
      </c>
      <c r="N348">
        <v>233.36</v>
      </c>
      <c r="O348" s="1">
        <f t="shared" si="20"/>
        <v>-8.1342580700416445E-4</v>
      </c>
      <c r="P348" s="1">
        <f t="shared" si="21"/>
        <v>4.8845280431895066E-3</v>
      </c>
      <c r="Q348" t="str">
        <f t="shared" si="22"/>
        <v>IDLE</v>
      </c>
      <c r="R348">
        <f t="shared" si="23"/>
        <v>0</v>
      </c>
    </row>
    <row r="349" spans="1:18" x14ac:dyDescent="0.2">
      <c r="A349" t="s">
        <v>14</v>
      </c>
      <c r="B349">
        <v>20231201</v>
      </c>
      <c r="C349">
        <v>100708.39</v>
      </c>
      <c r="D349">
        <v>100693.09</v>
      </c>
      <c r="E349">
        <v>1035</v>
      </c>
      <c r="F349">
        <v>1044</v>
      </c>
      <c r="G349" t="s">
        <v>360</v>
      </c>
      <c r="H349">
        <v>-15.3000000000029</v>
      </c>
      <c r="I349">
        <v>9</v>
      </c>
      <c r="J349" t="s">
        <v>15</v>
      </c>
      <c r="K349">
        <v>232.92</v>
      </c>
      <c r="L349">
        <v>233.8</v>
      </c>
      <c r="M349">
        <v>233.77</v>
      </c>
      <c r="N349">
        <v>233.98</v>
      </c>
      <c r="O349" s="1">
        <f t="shared" si="20"/>
        <v>3.7781212433454225E-3</v>
      </c>
      <c r="P349" s="1">
        <f t="shared" si="21"/>
        <v>-1.2831479897346121E-4</v>
      </c>
      <c r="Q349" t="str">
        <f t="shared" si="22"/>
        <v>SELL</v>
      </c>
      <c r="R349">
        <f t="shared" si="23"/>
        <v>-15.3000000000029</v>
      </c>
    </row>
    <row r="350" spans="1:18" x14ac:dyDescent="0.2">
      <c r="A350" t="s">
        <v>14</v>
      </c>
      <c r="B350">
        <v>20231201</v>
      </c>
      <c r="C350">
        <v>100693.09</v>
      </c>
      <c r="D350">
        <v>100635.13</v>
      </c>
      <c r="E350">
        <v>1117</v>
      </c>
      <c r="F350">
        <v>1121</v>
      </c>
      <c r="G350" t="s">
        <v>361</v>
      </c>
      <c r="H350">
        <v>-57.959999999991801</v>
      </c>
      <c r="I350">
        <v>4</v>
      </c>
      <c r="J350" t="s">
        <v>16</v>
      </c>
      <c r="K350">
        <v>236.69</v>
      </c>
      <c r="L350">
        <v>237.4</v>
      </c>
      <c r="M350">
        <v>237.74</v>
      </c>
      <c r="N350">
        <v>236.71</v>
      </c>
      <c r="O350" s="1">
        <f t="shared" si="20"/>
        <v>2.9997042545102381E-3</v>
      </c>
      <c r="P350" s="1">
        <f t="shared" si="21"/>
        <v>1.4321819713563055E-3</v>
      </c>
      <c r="Q350" t="str">
        <f t="shared" si="22"/>
        <v>IDLE</v>
      </c>
      <c r="R350">
        <f t="shared" si="23"/>
        <v>0</v>
      </c>
    </row>
    <row r="351" spans="1:18" x14ac:dyDescent="0.2">
      <c r="A351" t="s">
        <v>14</v>
      </c>
      <c r="B351">
        <v>20231201</v>
      </c>
      <c r="C351">
        <v>100635.13</v>
      </c>
      <c r="D351">
        <v>100592.29</v>
      </c>
      <c r="E351">
        <v>1125</v>
      </c>
      <c r="F351">
        <v>1127</v>
      </c>
      <c r="G351" t="s">
        <v>362</v>
      </c>
      <c r="H351">
        <v>-42.840000000011003</v>
      </c>
      <c r="I351">
        <v>2</v>
      </c>
      <c r="J351" t="s">
        <v>16</v>
      </c>
      <c r="K351">
        <v>236.62</v>
      </c>
      <c r="L351">
        <v>237.25</v>
      </c>
      <c r="M351">
        <v>237.48</v>
      </c>
      <c r="N351">
        <v>236.74</v>
      </c>
      <c r="O351" s="1">
        <f t="shared" si="20"/>
        <v>2.6624968303607943E-3</v>
      </c>
      <c r="P351" s="1">
        <f t="shared" si="21"/>
        <v>9.6944151738664885E-4</v>
      </c>
      <c r="Q351" t="str">
        <f t="shared" si="22"/>
        <v>IDLE</v>
      </c>
      <c r="R351">
        <f t="shared" si="23"/>
        <v>0</v>
      </c>
    </row>
    <row r="352" spans="1:18" x14ac:dyDescent="0.2">
      <c r="A352" t="s">
        <v>14</v>
      </c>
      <c r="B352">
        <v>20231201</v>
      </c>
      <c r="C352">
        <v>100592.29</v>
      </c>
      <c r="D352">
        <v>100555.33</v>
      </c>
      <c r="E352">
        <v>1131</v>
      </c>
      <c r="F352">
        <v>1135</v>
      </c>
      <c r="G352" t="s">
        <v>363</v>
      </c>
      <c r="H352">
        <v>-36.959999999991801</v>
      </c>
      <c r="I352">
        <v>4</v>
      </c>
      <c r="J352" t="s">
        <v>16</v>
      </c>
      <c r="K352">
        <v>236.46</v>
      </c>
      <c r="L352">
        <v>236.8</v>
      </c>
      <c r="M352">
        <v>237.11</v>
      </c>
      <c r="N352">
        <v>236.36</v>
      </c>
      <c r="O352" s="1">
        <f t="shared" si="20"/>
        <v>1.4378753277510814E-3</v>
      </c>
      <c r="P352" s="1">
        <f t="shared" si="21"/>
        <v>1.3091216216216672E-3</v>
      </c>
      <c r="Q352" t="str">
        <f t="shared" si="22"/>
        <v>IDLE</v>
      </c>
      <c r="R352">
        <f t="shared" si="23"/>
        <v>0</v>
      </c>
    </row>
    <row r="353" spans="1:18" x14ac:dyDescent="0.2">
      <c r="A353" t="s">
        <v>14</v>
      </c>
      <c r="B353">
        <v>20231201</v>
      </c>
      <c r="C353">
        <v>100555.33</v>
      </c>
      <c r="D353">
        <v>100523.41</v>
      </c>
      <c r="E353">
        <v>1139</v>
      </c>
      <c r="F353">
        <v>1140</v>
      </c>
      <c r="G353" t="s">
        <v>364</v>
      </c>
      <c r="H353">
        <v>-31.9199999999982</v>
      </c>
      <c r="I353">
        <v>1</v>
      </c>
      <c r="J353" t="s">
        <v>16</v>
      </c>
      <c r="K353">
        <v>236.32</v>
      </c>
      <c r="L353">
        <v>236.41</v>
      </c>
      <c r="M353">
        <v>237.11</v>
      </c>
      <c r="N353">
        <v>236.03</v>
      </c>
      <c r="O353" s="1">
        <f t="shared" si="20"/>
        <v>3.80839539607436E-4</v>
      </c>
      <c r="P353" s="1">
        <f t="shared" si="21"/>
        <v>2.9609576583056185E-3</v>
      </c>
      <c r="Q353" t="str">
        <f t="shared" si="22"/>
        <v>IDLE</v>
      </c>
      <c r="R353">
        <f t="shared" si="23"/>
        <v>0</v>
      </c>
    </row>
    <row r="354" spans="1:18" x14ac:dyDescent="0.2">
      <c r="A354" t="s">
        <v>14</v>
      </c>
      <c r="B354">
        <v>20231201</v>
      </c>
      <c r="C354">
        <v>100523.41</v>
      </c>
      <c r="D354">
        <v>100506.61</v>
      </c>
      <c r="E354">
        <v>1154</v>
      </c>
      <c r="F354">
        <v>1157</v>
      </c>
      <c r="G354" t="s">
        <v>365</v>
      </c>
      <c r="H354">
        <v>-16.8000000000029</v>
      </c>
      <c r="I354">
        <v>3</v>
      </c>
      <c r="J354" t="s">
        <v>16</v>
      </c>
      <c r="K354">
        <v>236.08</v>
      </c>
      <c r="L354">
        <v>237.58</v>
      </c>
      <c r="M354">
        <v>237.87</v>
      </c>
      <c r="N354">
        <v>237.38</v>
      </c>
      <c r="O354" s="1">
        <f t="shared" si="20"/>
        <v>6.3537783802101178E-3</v>
      </c>
      <c r="P354" s="1">
        <f t="shared" si="21"/>
        <v>1.2206414681370514E-3</v>
      </c>
      <c r="Q354" t="str">
        <f t="shared" si="22"/>
        <v>IDLE</v>
      </c>
      <c r="R354">
        <f t="shared" si="23"/>
        <v>0</v>
      </c>
    </row>
    <row r="355" spans="1:18" x14ac:dyDescent="0.2">
      <c r="A355" t="s">
        <v>14</v>
      </c>
      <c r="B355">
        <v>20231201</v>
      </c>
      <c r="C355">
        <v>100506.61</v>
      </c>
      <c r="D355">
        <v>100574.65</v>
      </c>
      <c r="E355">
        <v>1201</v>
      </c>
      <c r="F355">
        <v>1216</v>
      </c>
      <c r="G355" t="s">
        <v>366</v>
      </c>
      <c r="H355">
        <v>68.039999999993597</v>
      </c>
      <c r="I355">
        <v>15</v>
      </c>
      <c r="J355" t="s">
        <v>16</v>
      </c>
      <c r="K355">
        <v>237.31</v>
      </c>
      <c r="L355">
        <v>237.81</v>
      </c>
      <c r="M355">
        <v>237.87</v>
      </c>
      <c r="N355">
        <v>238.62</v>
      </c>
      <c r="O355" s="1">
        <f t="shared" si="20"/>
        <v>2.1069487168683398E-3</v>
      </c>
      <c r="P355" s="1">
        <f t="shared" si="21"/>
        <v>2.5230225810513041E-4</v>
      </c>
      <c r="Q355" t="str">
        <f t="shared" si="22"/>
        <v>IDLE</v>
      </c>
      <c r="R355">
        <f t="shared" si="23"/>
        <v>0</v>
      </c>
    </row>
    <row r="356" spans="1:18" x14ac:dyDescent="0.2">
      <c r="A356" t="s">
        <v>14</v>
      </c>
      <c r="B356">
        <v>20231201</v>
      </c>
      <c r="C356">
        <v>100574.65</v>
      </c>
      <c r="D356">
        <v>100665.95</v>
      </c>
      <c r="E356">
        <v>1220</v>
      </c>
      <c r="F356">
        <v>1249</v>
      </c>
      <c r="G356" t="s">
        <v>367</v>
      </c>
      <c r="H356">
        <v>91.300000000002896</v>
      </c>
      <c r="I356">
        <v>29</v>
      </c>
      <c r="J356" t="s">
        <v>16</v>
      </c>
      <c r="K356">
        <v>238.24</v>
      </c>
      <c r="L356">
        <v>238.25</v>
      </c>
      <c r="M356">
        <v>239.17</v>
      </c>
      <c r="N356">
        <v>239.35</v>
      </c>
      <c r="O356" s="1">
        <f t="shared" si="20"/>
        <v>4.1974479516371233E-5</v>
      </c>
      <c r="P356" s="1">
        <f t="shared" si="21"/>
        <v>3.8614900314795086E-3</v>
      </c>
      <c r="Q356" t="str">
        <f t="shared" si="22"/>
        <v>IDLE</v>
      </c>
      <c r="R356">
        <f t="shared" si="23"/>
        <v>0</v>
      </c>
    </row>
    <row r="357" spans="1:18" x14ac:dyDescent="0.2">
      <c r="A357" t="s">
        <v>14</v>
      </c>
      <c r="B357">
        <v>20231201</v>
      </c>
      <c r="C357">
        <v>100665.95</v>
      </c>
      <c r="D357">
        <v>100640.22</v>
      </c>
      <c r="E357">
        <v>1319</v>
      </c>
      <c r="F357">
        <v>1325</v>
      </c>
      <c r="G357" t="s">
        <v>368</v>
      </c>
      <c r="H357">
        <v>-25.729999999995901</v>
      </c>
      <c r="I357">
        <v>6</v>
      </c>
      <c r="J357" t="s">
        <v>16</v>
      </c>
      <c r="K357">
        <v>238.89</v>
      </c>
      <c r="L357">
        <v>239.56</v>
      </c>
      <c r="M357">
        <v>239.51</v>
      </c>
      <c r="N357">
        <v>239.25</v>
      </c>
      <c r="O357" s="1">
        <f t="shared" si="20"/>
        <v>2.804638117962277E-3</v>
      </c>
      <c r="P357" s="1">
        <f t="shared" si="21"/>
        <v>-2.0871597929539298E-4</v>
      </c>
      <c r="Q357" t="str">
        <f t="shared" si="22"/>
        <v>IDLE</v>
      </c>
      <c r="R357">
        <f t="shared" si="23"/>
        <v>0</v>
      </c>
    </row>
    <row r="358" spans="1:18" x14ac:dyDescent="0.2">
      <c r="A358" t="s">
        <v>14</v>
      </c>
      <c r="B358">
        <v>20231201</v>
      </c>
      <c r="C358">
        <v>100640.22</v>
      </c>
      <c r="D358">
        <v>100624.45</v>
      </c>
      <c r="E358">
        <v>1329</v>
      </c>
      <c r="F358">
        <v>1330</v>
      </c>
      <c r="G358" t="s">
        <v>369</v>
      </c>
      <c r="H358">
        <v>-15.770000000004</v>
      </c>
      <c r="I358">
        <v>1</v>
      </c>
      <c r="J358" t="s">
        <v>16</v>
      </c>
      <c r="K358">
        <v>238.86</v>
      </c>
      <c r="L358">
        <v>238.91</v>
      </c>
      <c r="M358">
        <v>239.65</v>
      </c>
      <c r="N358">
        <v>238.72</v>
      </c>
      <c r="O358" s="1">
        <f t="shared" si="20"/>
        <v>2.0932763962155931E-4</v>
      </c>
      <c r="P358" s="1">
        <f t="shared" si="21"/>
        <v>3.0974006948223387E-3</v>
      </c>
      <c r="Q358" t="str">
        <f t="shared" si="22"/>
        <v>IDLE</v>
      </c>
      <c r="R358">
        <f t="shared" si="23"/>
        <v>0</v>
      </c>
    </row>
    <row r="359" spans="1:18" x14ac:dyDescent="0.2">
      <c r="A359" t="s">
        <v>14</v>
      </c>
      <c r="B359">
        <v>20231201</v>
      </c>
      <c r="C359">
        <v>100624.45</v>
      </c>
      <c r="D359">
        <v>100589.59</v>
      </c>
      <c r="E359">
        <v>1503</v>
      </c>
      <c r="F359">
        <v>1506</v>
      </c>
      <c r="G359" t="s">
        <v>370</v>
      </c>
      <c r="H359">
        <v>-34.860000000000497</v>
      </c>
      <c r="I359">
        <v>3</v>
      </c>
      <c r="J359" t="s">
        <v>16</v>
      </c>
      <c r="K359">
        <v>238.36</v>
      </c>
      <c r="L359">
        <v>238.72</v>
      </c>
      <c r="M359">
        <v>238.77</v>
      </c>
      <c r="N359">
        <v>238.3</v>
      </c>
      <c r="O359" s="1">
        <f t="shared" si="20"/>
        <v>1.5103205235778017E-3</v>
      </c>
      <c r="P359" s="1">
        <f t="shared" si="21"/>
        <v>2.0945040214481736E-4</v>
      </c>
      <c r="Q359" t="str">
        <f t="shared" si="22"/>
        <v>IDLE</v>
      </c>
      <c r="R359">
        <f t="shared" si="23"/>
        <v>0</v>
      </c>
    </row>
    <row r="360" spans="1:18" x14ac:dyDescent="0.2">
      <c r="A360" t="s">
        <v>14</v>
      </c>
      <c r="B360">
        <v>20231201</v>
      </c>
      <c r="C360">
        <v>100589.59</v>
      </c>
      <c r="D360">
        <v>100566.35</v>
      </c>
      <c r="E360">
        <v>1531</v>
      </c>
      <c r="F360">
        <v>1538</v>
      </c>
      <c r="G360" t="s">
        <v>371</v>
      </c>
      <c r="H360">
        <v>-23.239999999990602</v>
      </c>
      <c r="I360">
        <v>7</v>
      </c>
      <c r="J360" t="s">
        <v>16</v>
      </c>
      <c r="K360">
        <v>237.94</v>
      </c>
      <c r="L360">
        <v>238.77</v>
      </c>
      <c r="M360">
        <v>238.85</v>
      </c>
      <c r="N360">
        <v>238.49</v>
      </c>
      <c r="O360" s="1">
        <f t="shared" si="20"/>
        <v>3.4882743548794171E-3</v>
      </c>
      <c r="P360" s="1">
        <f t="shared" si="21"/>
        <v>3.3505046697657193E-4</v>
      </c>
      <c r="Q360" t="str">
        <f t="shared" si="22"/>
        <v>IDLE</v>
      </c>
      <c r="R360">
        <f t="shared" si="23"/>
        <v>0</v>
      </c>
    </row>
    <row r="361" spans="1:18" x14ac:dyDescent="0.2">
      <c r="A361" t="s">
        <v>14</v>
      </c>
      <c r="B361">
        <v>20231201</v>
      </c>
      <c r="C361">
        <v>100566.35</v>
      </c>
      <c r="D361">
        <v>100544.77</v>
      </c>
      <c r="E361">
        <v>1542</v>
      </c>
      <c r="F361">
        <v>1543</v>
      </c>
      <c r="G361" t="s">
        <v>372</v>
      </c>
      <c r="H361">
        <v>-21.5800000000017</v>
      </c>
      <c r="I361">
        <v>1</v>
      </c>
      <c r="J361" t="s">
        <v>16</v>
      </c>
      <c r="K361">
        <v>238.41</v>
      </c>
      <c r="L361">
        <v>238.52</v>
      </c>
      <c r="M361">
        <v>238.96</v>
      </c>
      <c r="N361">
        <v>238.26</v>
      </c>
      <c r="O361" s="1">
        <f t="shared" si="20"/>
        <v>4.6139004236400716E-4</v>
      </c>
      <c r="P361" s="1">
        <f t="shared" si="21"/>
        <v>1.8447090390742993E-3</v>
      </c>
      <c r="Q361" t="str">
        <f t="shared" si="22"/>
        <v>IDLE</v>
      </c>
      <c r="R361">
        <f t="shared" si="23"/>
        <v>0</v>
      </c>
    </row>
    <row r="362" spans="1:18" x14ac:dyDescent="0.2">
      <c r="A362" t="s">
        <v>14</v>
      </c>
      <c r="B362">
        <v>20231204</v>
      </c>
      <c r="C362">
        <v>100544.77</v>
      </c>
      <c r="D362">
        <v>100457.41</v>
      </c>
      <c r="E362">
        <v>933</v>
      </c>
      <c r="F362">
        <v>934</v>
      </c>
      <c r="G362" t="s">
        <v>373</v>
      </c>
      <c r="H362">
        <v>-87.360000000000497</v>
      </c>
      <c r="I362">
        <v>1</v>
      </c>
      <c r="J362" t="s">
        <v>15</v>
      </c>
      <c r="K362">
        <v>235.07</v>
      </c>
      <c r="L362">
        <v>235.76</v>
      </c>
      <c r="M362">
        <v>239.71</v>
      </c>
      <c r="N362">
        <v>236.8</v>
      </c>
      <c r="O362" s="1">
        <f t="shared" si="20"/>
        <v>2.9352958693156239E-3</v>
      </c>
      <c r="P362" s="1">
        <f t="shared" si="21"/>
        <v>1.6754326433661371E-2</v>
      </c>
      <c r="Q362" t="str">
        <f t="shared" si="22"/>
        <v>SELL</v>
      </c>
      <c r="R362">
        <f t="shared" si="23"/>
        <v>-87.360000000000497</v>
      </c>
    </row>
    <row r="363" spans="1:18" x14ac:dyDescent="0.2">
      <c r="A363" t="s">
        <v>14</v>
      </c>
      <c r="B363">
        <v>20231204</v>
      </c>
      <c r="C363">
        <v>100457.41</v>
      </c>
      <c r="D363">
        <v>100472.53</v>
      </c>
      <c r="E363">
        <v>938</v>
      </c>
      <c r="F363">
        <v>947</v>
      </c>
      <c r="G363" t="s">
        <v>374</v>
      </c>
      <c r="H363">
        <v>15.119999999995301</v>
      </c>
      <c r="I363">
        <v>9</v>
      </c>
      <c r="J363" t="s">
        <v>15</v>
      </c>
      <c r="K363">
        <v>234.76</v>
      </c>
      <c r="L363">
        <v>237.21</v>
      </c>
      <c r="M363">
        <v>238</v>
      </c>
      <c r="N363">
        <v>237.03</v>
      </c>
      <c r="O363" s="1">
        <f t="shared" si="20"/>
        <v>1.043619015164432E-2</v>
      </c>
      <c r="P363" s="1">
        <f t="shared" si="21"/>
        <v>3.3303823616204209E-3</v>
      </c>
      <c r="Q363" t="str">
        <f t="shared" si="22"/>
        <v>SELL</v>
      </c>
      <c r="R363">
        <f t="shared" si="23"/>
        <v>15.119999999995301</v>
      </c>
    </row>
    <row r="364" spans="1:18" x14ac:dyDescent="0.2">
      <c r="A364" t="s">
        <v>14</v>
      </c>
      <c r="B364">
        <v>20231204</v>
      </c>
      <c r="C364">
        <v>100472.53</v>
      </c>
      <c r="D364">
        <v>100446.18</v>
      </c>
      <c r="E364">
        <v>1037</v>
      </c>
      <c r="F364">
        <v>1038</v>
      </c>
      <c r="G364" t="s">
        <v>375</v>
      </c>
      <c r="H364">
        <v>-26.350000000005799</v>
      </c>
      <c r="I364">
        <v>1</v>
      </c>
      <c r="J364" t="s">
        <v>15</v>
      </c>
      <c r="K364">
        <v>234.66</v>
      </c>
      <c r="L364">
        <v>235.08</v>
      </c>
      <c r="M364">
        <v>235.99</v>
      </c>
      <c r="N364">
        <v>235.39</v>
      </c>
      <c r="O364" s="1">
        <f t="shared" si="20"/>
        <v>1.7898235745335001E-3</v>
      </c>
      <c r="P364" s="1">
        <f t="shared" si="21"/>
        <v>3.8710226305938011E-3</v>
      </c>
      <c r="Q364" t="str">
        <f t="shared" si="22"/>
        <v>SELL</v>
      </c>
      <c r="R364">
        <f t="shared" si="23"/>
        <v>-26.350000000005799</v>
      </c>
    </row>
    <row r="365" spans="1:18" x14ac:dyDescent="0.2">
      <c r="A365" t="s">
        <v>14</v>
      </c>
      <c r="B365">
        <v>20231204</v>
      </c>
      <c r="C365">
        <v>100446.18</v>
      </c>
      <c r="D365">
        <v>100532.03</v>
      </c>
      <c r="E365">
        <v>1042</v>
      </c>
      <c r="F365">
        <v>1105</v>
      </c>
      <c r="G365" t="s">
        <v>376</v>
      </c>
      <c r="H365">
        <v>85.850000000005807</v>
      </c>
      <c r="I365">
        <v>23</v>
      </c>
      <c r="J365" t="s">
        <v>15</v>
      </c>
      <c r="K365">
        <v>234.7</v>
      </c>
      <c r="L365">
        <v>235.15</v>
      </c>
      <c r="M365">
        <v>235.59</v>
      </c>
      <c r="N365">
        <v>234.14</v>
      </c>
      <c r="O365" s="1">
        <f t="shared" si="20"/>
        <v>1.9173412867490303E-3</v>
      </c>
      <c r="P365" s="1">
        <f t="shared" si="21"/>
        <v>1.8711460769720301E-3</v>
      </c>
      <c r="Q365" t="str">
        <f t="shared" si="22"/>
        <v>SELL</v>
      </c>
      <c r="R365">
        <f t="shared" si="23"/>
        <v>85.850000000005807</v>
      </c>
    </row>
    <row r="366" spans="1:18" x14ac:dyDescent="0.2">
      <c r="A366" t="s">
        <v>14</v>
      </c>
      <c r="B366">
        <v>20231204</v>
      </c>
      <c r="C366">
        <v>100532.03</v>
      </c>
      <c r="D366">
        <v>100521.95</v>
      </c>
      <c r="E366">
        <v>1303</v>
      </c>
      <c r="F366">
        <v>1317</v>
      </c>
      <c r="G366" t="s">
        <v>377</v>
      </c>
      <c r="H366">
        <v>-10.0800000000017</v>
      </c>
      <c r="I366">
        <v>14</v>
      </c>
      <c r="J366" t="s">
        <v>16</v>
      </c>
      <c r="K366">
        <v>237.62</v>
      </c>
      <c r="L366">
        <v>237.65</v>
      </c>
      <c r="M366">
        <v>237.91</v>
      </c>
      <c r="N366">
        <v>237.53</v>
      </c>
      <c r="O366" s="1">
        <f t="shared" si="20"/>
        <v>1.2625199898996797E-4</v>
      </c>
      <c r="P366" s="1">
        <f t="shared" si="21"/>
        <v>1.094045865768889E-3</v>
      </c>
      <c r="Q366" t="str">
        <f t="shared" si="22"/>
        <v>IDLE</v>
      </c>
      <c r="R366">
        <f t="shared" si="23"/>
        <v>0</v>
      </c>
    </row>
    <row r="367" spans="1:18" x14ac:dyDescent="0.2">
      <c r="A367" t="s">
        <v>14</v>
      </c>
      <c r="B367">
        <v>20231205</v>
      </c>
      <c r="C367">
        <v>100521.95</v>
      </c>
      <c r="D367">
        <v>100493.39</v>
      </c>
      <c r="E367">
        <v>938</v>
      </c>
      <c r="F367">
        <v>939</v>
      </c>
      <c r="G367" t="s">
        <v>378</v>
      </c>
      <c r="H367">
        <v>-28.559999999997601</v>
      </c>
      <c r="I367">
        <v>1</v>
      </c>
      <c r="J367" t="s">
        <v>16</v>
      </c>
      <c r="K367">
        <v>235.09</v>
      </c>
      <c r="L367">
        <v>237.71</v>
      </c>
      <c r="M367">
        <v>238.29</v>
      </c>
      <c r="N367">
        <v>237.37</v>
      </c>
      <c r="O367" s="1">
        <f t="shared" si="20"/>
        <v>1.1144667999489544E-2</v>
      </c>
      <c r="P367" s="1">
        <f t="shared" si="21"/>
        <v>2.4399478355978665E-3</v>
      </c>
      <c r="Q367" t="str">
        <f t="shared" si="22"/>
        <v>IDLE</v>
      </c>
      <c r="R367">
        <f t="shared" si="23"/>
        <v>0</v>
      </c>
    </row>
    <row r="368" spans="1:18" x14ac:dyDescent="0.2">
      <c r="A368" t="s">
        <v>14</v>
      </c>
      <c r="B368">
        <v>20231205</v>
      </c>
      <c r="C368">
        <v>100493.39</v>
      </c>
      <c r="D368">
        <v>100428.65</v>
      </c>
      <c r="E368">
        <v>943</v>
      </c>
      <c r="F368">
        <v>945</v>
      </c>
      <c r="G368" t="s">
        <v>379</v>
      </c>
      <c r="H368">
        <v>-64.740000000005196</v>
      </c>
      <c r="I368">
        <v>2</v>
      </c>
      <c r="J368" t="s">
        <v>16</v>
      </c>
      <c r="K368">
        <v>236.96</v>
      </c>
      <c r="L368">
        <v>238.49</v>
      </c>
      <c r="M368">
        <v>238.33</v>
      </c>
      <c r="N368">
        <v>237.71</v>
      </c>
      <c r="O368" s="1">
        <f t="shared" si="20"/>
        <v>6.4567859554354179E-3</v>
      </c>
      <c r="P368" s="1">
        <f t="shared" si="21"/>
        <v>-6.7088766824607848E-4</v>
      </c>
      <c r="Q368" t="str">
        <f t="shared" si="22"/>
        <v>IDLE</v>
      </c>
      <c r="R368">
        <f t="shared" si="23"/>
        <v>0</v>
      </c>
    </row>
    <row r="369" spans="1:18" x14ac:dyDescent="0.2">
      <c r="A369" t="s">
        <v>14</v>
      </c>
      <c r="B369">
        <v>20231205</v>
      </c>
      <c r="C369">
        <v>100428.65</v>
      </c>
      <c r="D369">
        <v>100369.01</v>
      </c>
      <c r="E369">
        <v>949</v>
      </c>
      <c r="F369">
        <v>951</v>
      </c>
      <c r="G369" t="s">
        <v>380</v>
      </c>
      <c r="H369">
        <v>-59.639999999999397</v>
      </c>
      <c r="I369">
        <v>2</v>
      </c>
      <c r="J369" t="s">
        <v>16</v>
      </c>
      <c r="K369">
        <v>237.42</v>
      </c>
      <c r="L369">
        <v>238.01</v>
      </c>
      <c r="M369">
        <v>238.37</v>
      </c>
      <c r="N369">
        <v>237.3</v>
      </c>
      <c r="O369" s="1">
        <f t="shared" si="20"/>
        <v>2.4850475949793616E-3</v>
      </c>
      <c r="P369" s="1">
        <f t="shared" si="21"/>
        <v>1.5125414898533585E-3</v>
      </c>
      <c r="Q369" t="str">
        <f t="shared" si="22"/>
        <v>IDLE</v>
      </c>
      <c r="R369">
        <f t="shared" si="23"/>
        <v>0</v>
      </c>
    </row>
    <row r="370" spans="1:18" x14ac:dyDescent="0.2">
      <c r="A370" t="s">
        <v>14</v>
      </c>
      <c r="B370">
        <v>20231205</v>
      </c>
      <c r="C370">
        <v>100369.01</v>
      </c>
      <c r="D370">
        <v>100712.57</v>
      </c>
      <c r="E370">
        <v>955</v>
      </c>
      <c r="F370">
        <v>1025</v>
      </c>
      <c r="G370" t="s">
        <v>381</v>
      </c>
      <c r="H370">
        <v>343.560000000012</v>
      </c>
      <c r="I370">
        <v>30</v>
      </c>
      <c r="J370" t="s">
        <v>16</v>
      </c>
      <c r="K370">
        <v>237.34</v>
      </c>
      <c r="L370">
        <v>237.93</v>
      </c>
      <c r="M370">
        <v>238.23</v>
      </c>
      <c r="N370">
        <v>242.02</v>
      </c>
      <c r="O370" s="1">
        <f t="shared" si="20"/>
        <v>2.4858852279430188E-3</v>
      </c>
      <c r="P370" s="1">
        <f t="shared" si="21"/>
        <v>1.2608750472826724E-3</v>
      </c>
      <c r="Q370" t="str">
        <f t="shared" si="22"/>
        <v>IDLE</v>
      </c>
      <c r="R370">
        <f t="shared" si="23"/>
        <v>0</v>
      </c>
    </row>
    <row r="371" spans="1:18" x14ac:dyDescent="0.2">
      <c r="A371" t="s">
        <v>14</v>
      </c>
      <c r="B371">
        <v>20231205</v>
      </c>
      <c r="C371">
        <v>100712.57</v>
      </c>
      <c r="D371">
        <v>101022.53</v>
      </c>
      <c r="E371">
        <v>1029</v>
      </c>
      <c r="F371">
        <v>1058</v>
      </c>
      <c r="G371" t="s">
        <v>382</v>
      </c>
      <c r="H371">
        <v>309.959999999991</v>
      </c>
      <c r="I371">
        <v>29</v>
      </c>
      <c r="J371" t="s">
        <v>16</v>
      </c>
      <c r="K371">
        <v>241.67</v>
      </c>
      <c r="L371">
        <v>242.1</v>
      </c>
      <c r="M371">
        <v>242.93</v>
      </c>
      <c r="N371">
        <v>245.88</v>
      </c>
      <c r="O371" s="1">
        <f t="shared" si="20"/>
        <v>1.779285802954389E-3</v>
      </c>
      <c r="P371" s="1">
        <f t="shared" si="21"/>
        <v>3.4283353985957721E-3</v>
      </c>
      <c r="Q371" t="str">
        <f t="shared" si="22"/>
        <v>IDLE</v>
      </c>
      <c r="R371">
        <f t="shared" si="23"/>
        <v>0</v>
      </c>
    </row>
    <row r="372" spans="1:18" x14ac:dyDescent="0.2">
      <c r="A372" t="s">
        <v>14</v>
      </c>
      <c r="B372">
        <v>20231205</v>
      </c>
      <c r="C372">
        <v>101022.53</v>
      </c>
      <c r="D372">
        <v>100986.89</v>
      </c>
      <c r="E372">
        <v>1102</v>
      </c>
      <c r="F372">
        <v>1110</v>
      </c>
      <c r="G372" t="s">
        <v>383</v>
      </c>
      <c r="H372">
        <v>-35.639999999999397</v>
      </c>
      <c r="I372">
        <v>8</v>
      </c>
      <c r="J372" t="s">
        <v>16</v>
      </c>
      <c r="K372">
        <v>245.48</v>
      </c>
      <c r="L372">
        <v>245.96</v>
      </c>
      <c r="M372">
        <v>246.5</v>
      </c>
      <c r="N372">
        <v>245.52</v>
      </c>
      <c r="O372" s="1">
        <f t="shared" si="20"/>
        <v>1.9553527782305569E-3</v>
      </c>
      <c r="P372" s="1">
        <f t="shared" si="21"/>
        <v>2.1954789396649854E-3</v>
      </c>
      <c r="Q372" t="str">
        <f t="shared" si="22"/>
        <v>IDLE</v>
      </c>
      <c r="R372">
        <f t="shared" si="23"/>
        <v>0</v>
      </c>
    </row>
    <row r="373" spans="1:18" x14ac:dyDescent="0.2">
      <c r="A373" t="s">
        <v>14</v>
      </c>
      <c r="B373">
        <v>20231205</v>
      </c>
      <c r="C373">
        <v>100986.89</v>
      </c>
      <c r="D373">
        <v>100952.45</v>
      </c>
      <c r="E373">
        <v>1247</v>
      </c>
      <c r="F373">
        <v>1249</v>
      </c>
      <c r="G373" t="s">
        <v>384</v>
      </c>
      <c r="H373">
        <v>-34.4400000000023</v>
      </c>
      <c r="I373">
        <v>2</v>
      </c>
      <c r="J373" t="s">
        <v>15</v>
      </c>
      <c r="K373">
        <v>240.89</v>
      </c>
      <c r="L373">
        <v>240.98</v>
      </c>
      <c r="M373">
        <v>241.91</v>
      </c>
      <c r="N373">
        <v>241.4</v>
      </c>
      <c r="O373" s="1">
        <f t="shared" si="20"/>
        <v>3.7361451284811942E-4</v>
      </c>
      <c r="P373" s="1">
        <f t="shared" si="21"/>
        <v>3.8592414308240564E-3</v>
      </c>
      <c r="Q373" t="str">
        <f t="shared" si="22"/>
        <v>SELL</v>
      </c>
      <c r="R373">
        <f t="shared" si="23"/>
        <v>-34.4400000000023</v>
      </c>
    </row>
    <row r="374" spans="1:18" x14ac:dyDescent="0.2">
      <c r="A374" t="s">
        <v>14</v>
      </c>
      <c r="B374">
        <v>20231205</v>
      </c>
      <c r="C374">
        <v>100952.45</v>
      </c>
      <c r="D374">
        <v>100921.74</v>
      </c>
      <c r="E374">
        <v>1253</v>
      </c>
      <c r="F374">
        <v>1254</v>
      </c>
      <c r="G374" t="s">
        <v>385</v>
      </c>
      <c r="H374">
        <v>-30.709999999991801</v>
      </c>
      <c r="I374">
        <v>1</v>
      </c>
      <c r="J374" t="s">
        <v>15</v>
      </c>
      <c r="K374">
        <v>240.83</v>
      </c>
      <c r="L374">
        <v>240.86</v>
      </c>
      <c r="M374">
        <v>241.37</v>
      </c>
      <c r="N374">
        <v>241.23</v>
      </c>
      <c r="O374" s="1">
        <f t="shared" si="20"/>
        <v>1.2456919818970569E-4</v>
      </c>
      <c r="P374" s="1">
        <f t="shared" si="21"/>
        <v>2.1174126048326691E-3</v>
      </c>
      <c r="Q374" t="str">
        <f t="shared" si="22"/>
        <v>SELL</v>
      </c>
      <c r="R374">
        <f t="shared" si="23"/>
        <v>-30.709999999991801</v>
      </c>
    </row>
    <row r="375" spans="1:18" x14ac:dyDescent="0.2">
      <c r="A375" t="s">
        <v>14</v>
      </c>
      <c r="B375">
        <v>20231205</v>
      </c>
      <c r="C375">
        <v>100921.74</v>
      </c>
      <c r="D375">
        <v>100990.62</v>
      </c>
      <c r="E375">
        <v>1258</v>
      </c>
      <c r="F375">
        <v>1314</v>
      </c>
      <c r="G375" t="s">
        <v>386</v>
      </c>
      <c r="H375">
        <v>68.879999999990105</v>
      </c>
      <c r="I375">
        <v>16</v>
      </c>
      <c r="J375" t="s">
        <v>15</v>
      </c>
      <c r="K375">
        <v>240.91</v>
      </c>
      <c r="L375">
        <v>241.42</v>
      </c>
      <c r="M375">
        <v>241.46</v>
      </c>
      <c r="N375">
        <v>240.58</v>
      </c>
      <c r="O375" s="1">
        <f t="shared" si="20"/>
        <v>2.1169731434975692E-3</v>
      </c>
      <c r="P375" s="1">
        <f t="shared" si="21"/>
        <v>1.6568635572866697E-4</v>
      </c>
      <c r="Q375" t="str">
        <f t="shared" si="22"/>
        <v>SELL</v>
      </c>
      <c r="R375">
        <f t="shared" si="23"/>
        <v>68.879999999990105</v>
      </c>
    </row>
    <row r="376" spans="1:18" x14ac:dyDescent="0.2">
      <c r="A376" t="s">
        <v>14</v>
      </c>
      <c r="B376">
        <v>20231205</v>
      </c>
      <c r="C376">
        <v>100990.62</v>
      </c>
      <c r="D376">
        <v>100934.18</v>
      </c>
      <c r="E376">
        <v>1318</v>
      </c>
      <c r="F376">
        <v>1320</v>
      </c>
      <c r="G376" t="s">
        <v>387</v>
      </c>
      <c r="H376">
        <v>-56.4400000000023</v>
      </c>
      <c r="I376">
        <v>2</v>
      </c>
      <c r="J376" t="s">
        <v>15</v>
      </c>
      <c r="K376">
        <v>240.12</v>
      </c>
      <c r="L376">
        <v>240.04</v>
      </c>
      <c r="M376">
        <v>240.59</v>
      </c>
      <c r="N376">
        <v>240.72</v>
      </c>
      <c r="O376" s="1">
        <f t="shared" si="20"/>
        <v>-3.3316674995842455E-4</v>
      </c>
      <c r="P376" s="1">
        <f t="shared" si="21"/>
        <v>2.2912847858691521E-3</v>
      </c>
      <c r="Q376" t="str">
        <f t="shared" si="22"/>
        <v>IDLE</v>
      </c>
      <c r="R376">
        <f t="shared" si="23"/>
        <v>0</v>
      </c>
    </row>
    <row r="377" spans="1:18" x14ac:dyDescent="0.2">
      <c r="A377" t="s">
        <v>14</v>
      </c>
      <c r="B377">
        <v>20231205</v>
      </c>
      <c r="C377">
        <v>100934.18</v>
      </c>
      <c r="D377">
        <v>101129.34</v>
      </c>
      <c r="E377">
        <v>1324</v>
      </c>
      <c r="F377">
        <v>1414</v>
      </c>
      <c r="G377" t="s">
        <v>388</v>
      </c>
      <c r="H377">
        <v>195.16000000000301</v>
      </c>
      <c r="I377">
        <v>50</v>
      </c>
      <c r="J377" t="s">
        <v>15</v>
      </c>
      <c r="K377">
        <v>240.07</v>
      </c>
      <c r="L377">
        <v>241.01</v>
      </c>
      <c r="M377">
        <v>241.14</v>
      </c>
      <c r="N377">
        <v>238.63</v>
      </c>
      <c r="O377" s="1">
        <f t="shared" si="20"/>
        <v>3.9155246386470832E-3</v>
      </c>
      <c r="P377" s="1">
        <f t="shared" si="21"/>
        <v>5.3939670553093677E-4</v>
      </c>
      <c r="Q377" t="str">
        <f t="shared" si="22"/>
        <v>SELL</v>
      </c>
      <c r="R377">
        <f t="shared" si="23"/>
        <v>195.16000000000301</v>
      </c>
    </row>
    <row r="378" spans="1:18" x14ac:dyDescent="0.2">
      <c r="A378" t="s">
        <v>14</v>
      </c>
      <c r="B378">
        <v>20231205</v>
      </c>
      <c r="C378">
        <v>101129.34</v>
      </c>
      <c r="D378">
        <v>101118.55</v>
      </c>
      <c r="E378">
        <v>1435</v>
      </c>
      <c r="F378">
        <v>1437</v>
      </c>
      <c r="G378" t="s">
        <v>389</v>
      </c>
      <c r="H378">
        <v>-10.789999999993499</v>
      </c>
      <c r="I378">
        <v>2</v>
      </c>
      <c r="J378" t="s">
        <v>15</v>
      </c>
      <c r="K378">
        <v>238.15</v>
      </c>
      <c r="L378">
        <v>238.28</v>
      </c>
      <c r="M378">
        <v>239.25</v>
      </c>
      <c r="N378">
        <v>238.41</v>
      </c>
      <c r="O378" s="1">
        <f t="shared" si="20"/>
        <v>5.4587444887665981E-4</v>
      </c>
      <c r="P378" s="1">
        <f t="shared" si="21"/>
        <v>4.0708410273626594E-3</v>
      </c>
      <c r="Q378" t="str">
        <f t="shared" si="22"/>
        <v>SELL</v>
      </c>
      <c r="R378">
        <f t="shared" si="23"/>
        <v>-10.789999999993499</v>
      </c>
    </row>
    <row r="379" spans="1:18" x14ac:dyDescent="0.2">
      <c r="A379" t="s">
        <v>14</v>
      </c>
      <c r="B379">
        <v>20231205</v>
      </c>
      <c r="C379">
        <v>101118.55</v>
      </c>
      <c r="D379">
        <v>101088.67</v>
      </c>
      <c r="E379">
        <v>1441</v>
      </c>
      <c r="F379">
        <v>1446</v>
      </c>
      <c r="G379" t="s">
        <v>390</v>
      </c>
      <c r="H379">
        <v>-29.8800000000046</v>
      </c>
      <c r="I379">
        <v>5</v>
      </c>
      <c r="J379" t="s">
        <v>15</v>
      </c>
      <c r="K379">
        <v>238.19</v>
      </c>
      <c r="L379">
        <v>238.34</v>
      </c>
      <c r="M379">
        <v>238.43</v>
      </c>
      <c r="N379">
        <v>238.7</v>
      </c>
      <c r="O379" s="1">
        <f t="shared" si="20"/>
        <v>6.2974935975490531E-4</v>
      </c>
      <c r="P379" s="1">
        <f t="shared" si="21"/>
        <v>3.7761181505424624E-4</v>
      </c>
      <c r="Q379" t="str">
        <f t="shared" si="22"/>
        <v>SELL</v>
      </c>
      <c r="R379">
        <f t="shared" si="23"/>
        <v>-29.8800000000046</v>
      </c>
    </row>
    <row r="380" spans="1:18" x14ac:dyDescent="0.2">
      <c r="A380" t="s">
        <v>14</v>
      </c>
      <c r="B380">
        <v>20231205</v>
      </c>
      <c r="C380">
        <v>101088.67</v>
      </c>
      <c r="D380">
        <v>101074.56</v>
      </c>
      <c r="E380">
        <v>1547</v>
      </c>
      <c r="F380">
        <v>1548</v>
      </c>
      <c r="G380" t="s">
        <v>391</v>
      </c>
      <c r="H380">
        <v>-14.1100000000005</v>
      </c>
      <c r="I380">
        <v>1</v>
      </c>
      <c r="J380" t="s">
        <v>15</v>
      </c>
      <c r="K380">
        <v>238.26</v>
      </c>
      <c r="L380">
        <v>238.61</v>
      </c>
      <c r="M380">
        <v>239.04</v>
      </c>
      <c r="N380">
        <v>238.78</v>
      </c>
      <c r="O380" s="1">
        <f t="shared" si="20"/>
        <v>1.468983463443374E-3</v>
      </c>
      <c r="P380" s="1">
        <f t="shared" si="21"/>
        <v>1.8021038514730581E-3</v>
      </c>
      <c r="Q380" t="str">
        <f t="shared" si="22"/>
        <v>SELL</v>
      </c>
      <c r="R380">
        <f t="shared" si="23"/>
        <v>-14.1100000000005</v>
      </c>
    </row>
    <row r="381" spans="1:18" x14ac:dyDescent="0.2">
      <c r="A381" t="s">
        <v>14</v>
      </c>
      <c r="B381">
        <v>20231205</v>
      </c>
      <c r="C381">
        <v>101074.56</v>
      </c>
      <c r="D381">
        <v>101092.82</v>
      </c>
      <c r="E381">
        <v>1552</v>
      </c>
      <c r="F381">
        <v>1557</v>
      </c>
      <c r="G381" t="s">
        <v>392</v>
      </c>
      <c r="H381">
        <v>18.260000000009299</v>
      </c>
      <c r="I381">
        <v>5</v>
      </c>
      <c r="J381" t="s">
        <v>15</v>
      </c>
      <c r="K381">
        <v>238.26</v>
      </c>
      <c r="L381">
        <v>238.68</v>
      </c>
      <c r="M381">
        <v>238.93</v>
      </c>
      <c r="N381">
        <v>238.46</v>
      </c>
      <c r="O381" s="1">
        <f t="shared" si="20"/>
        <v>1.76278015613196E-3</v>
      </c>
      <c r="P381" s="1">
        <f t="shared" si="21"/>
        <v>1.0474275180156756E-3</v>
      </c>
      <c r="Q381" t="str">
        <f t="shared" si="22"/>
        <v>SELL</v>
      </c>
      <c r="R381">
        <f t="shared" si="23"/>
        <v>18.260000000009299</v>
      </c>
    </row>
    <row r="382" spans="1:18" x14ac:dyDescent="0.2">
      <c r="A382" t="s">
        <v>14</v>
      </c>
      <c r="B382">
        <v>20231206</v>
      </c>
      <c r="C382">
        <v>101092.82</v>
      </c>
      <c r="D382">
        <v>100964.03</v>
      </c>
      <c r="E382">
        <v>933</v>
      </c>
      <c r="F382">
        <v>935</v>
      </c>
      <c r="G382" t="s">
        <v>393</v>
      </c>
      <c r="H382">
        <v>-128.79000000000801</v>
      </c>
      <c r="I382">
        <v>2</v>
      </c>
      <c r="J382" t="s">
        <v>16</v>
      </c>
      <c r="K382">
        <v>236.78</v>
      </c>
      <c r="L382">
        <v>244.41</v>
      </c>
      <c r="M382">
        <v>244.8</v>
      </c>
      <c r="N382">
        <v>242.82</v>
      </c>
      <c r="O382" s="1">
        <f t="shared" si="20"/>
        <v>3.2224005405862011E-2</v>
      </c>
      <c r="P382" s="1">
        <f t="shared" si="21"/>
        <v>1.5956793911870992E-3</v>
      </c>
      <c r="Q382" t="str">
        <f t="shared" si="22"/>
        <v>IDLE</v>
      </c>
      <c r="R382">
        <f t="shared" si="23"/>
        <v>0</v>
      </c>
    </row>
    <row r="383" spans="1:18" x14ac:dyDescent="0.2">
      <c r="A383" t="s">
        <v>14</v>
      </c>
      <c r="B383">
        <v>20231206</v>
      </c>
      <c r="C383">
        <v>100964.03</v>
      </c>
      <c r="D383">
        <v>101091.95</v>
      </c>
      <c r="E383">
        <v>939</v>
      </c>
      <c r="F383">
        <v>948</v>
      </c>
      <c r="G383" t="s">
        <v>394</v>
      </c>
      <c r="H383">
        <v>127.919999999998</v>
      </c>
      <c r="I383">
        <v>9</v>
      </c>
      <c r="J383" t="s">
        <v>16</v>
      </c>
      <c r="K383">
        <v>242.74</v>
      </c>
      <c r="L383">
        <v>243.23</v>
      </c>
      <c r="M383">
        <v>244.48</v>
      </c>
      <c r="N383">
        <v>244.79</v>
      </c>
      <c r="O383" s="1">
        <f t="shared" si="20"/>
        <v>2.0186207464776285E-3</v>
      </c>
      <c r="P383" s="1">
        <f t="shared" si="21"/>
        <v>5.1391686880730703E-3</v>
      </c>
      <c r="Q383" t="str">
        <f t="shared" si="22"/>
        <v>BUY</v>
      </c>
      <c r="R383">
        <f t="shared" si="23"/>
        <v>127.919999999998</v>
      </c>
    </row>
    <row r="384" spans="1:18" x14ac:dyDescent="0.2">
      <c r="A384" t="s">
        <v>14</v>
      </c>
      <c r="B384">
        <v>20231206</v>
      </c>
      <c r="C384">
        <v>101091.95</v>
      </c>
      <c r="D384">
        <v>101049.83</v>
      </c>
      <c r="E384">
        <v>952</v>
      </c>
      <c r="F384">
        <v>953</v>
      </c>
      <c r="G384" t="s">
        <v>395</v>
      </c>
      <c r="H384">
        <v>-42.119999999995301</v>
      </c>
      <c r="I384">
        <v>1</v>
      </c>
      <c r="J384" t="s">
        <v>16</v>
      </c>
      <c r="K384">
        <v>244.9</v>
      </c>
      <c r="L384">
        <v>245.74</v>
      </c>
      <c r="M384">
        <v>245.71</v>
      </c>
      <c r="N384">
        <v>245.22</v>
      </c>
      <c r="O384" s="1">
        <f t="shared" si="20"/>
        <v>3.4299714169048201E-3</v>
      </c>
      <c r="P384" s="1">
        <f t="shared" si="21"/>
        <v>-1.2208024741600099E-4</v>
      </c>
      <c r="Q384" t="str">
        <f t="shared" si="22"/>
        <v>IDLE</v>
      </c>
      <c r="R384">
        <f t="shared" si="23"/>
        <v>0</v>
      </c>
    </row>
    <row r="385" spans="1:18" x14ac:dyDescent="0.2">
      <c r="A385" t="s">
        <v>14</v>
      </c>
      <c r="B385">
        <v>20231206</v>
      </c>
      <c r="C385">
        <v>101049.83</v>
      </c>
      <c r="D385">
        <v>101032.01</v>
      </c>
      <c r="E385">
        <v>957</v>
      </c>
      <c r="F385">
        <v>958</v>
      </c>
      <c r="G385" t="s">
        <v>396</v>
      </c>
      <c r="H385">
        <v>-17.8200000000069</v>
      </c>
      <c r="I385">
        <v>1</v>
      </c>
      <c r="J385" t="s">
        <v>16</v>
      </c>
      <c r="K385">
        <v>244.77</v>
      </c>
      <c r="L385">
        <v>245.18</v>
      </c>
      <c r="M385">
        <v>245.55</v>
      </c>
      <c r="N385">
        <v>244.96</v>
      </c>
      <c r="O385" s="1">
        <f t="shared" si="20"/>
        <v>1.6750418760469454E-3</v>
      </c>
      <c r="P385" s="1">
        <f t="shared" si="21"/>
        <v>1.5090953585121802E-3</v>
      </c>
      <c r="Q385" t="str">
        <f t="shared" si="22"/>
        <v>IDLE</v>
      </c>
      <c r="R385">
        <f t="shared" si="23"/>
        <v>0</v>
      </c>
    </row>
    <row r="386" spans="1:18" x14ac:dyDescent="0.2">
      <c r="A386" t="s">
        <v>14</v>
      </c>
      <c r="B386">
        <v>20231206</v>
      </c>
      <c r="C386">
        <v>101032.01</v>
      </c>
      <c r="D386">
        <v>101007.71</v>
      </c>
      <c r="E386">
        <v>1002</v>
      </c>
      <c r="F386">
        <v>1007</v>
      </c>
      <c r="G386" t="s">
        <v>397</v>
      </c>
      <c r="H386">
        <v>-24.299999999988302</v>
      </c>
      <c r="I386">
        <v>5</v>
      </c>
      <c r="J386" t="s">
        <v>16</v>
      </c>
      <c r="K386">
        <v>243.91</v>
      </c>
      <c r="L386">
        <v>244.05</v>
      </c>
      <c r="M386">
        <v>245.45</v>
      </c>
      <c r="N386">
        <v>243.75</v>
      </c>
      <c r="O386" s="1">
        <f t="shared" si="20"/>
        <v>5.7398220655158205E-4</v>
      </c>
      <c r="P386" s="1">
        <f t="shared" si="21"/>
        <v>5.7365293997131417E-3</v>
      </c>
      <c r="Q386" t="str">
        <f t="shared" si="22"/>
        <v>BUY</v>
      </c>
      <c r="R386">
        <f t="shared" si="23"/>
        <v>-24.299999999988302</v>
      </c>
    </row>
    <row r="387" spans="1:18" x14ac:dyDescent="0.2">
      <c r="A387" t="s">
        <v>14</v>
      </c>
      <c r="B387">
        <v>20231206</v>
      </c>
      <c r="C387">
        <v>101007.71</v>
      </c>
      <c r="D387">
        <v>100981.79</v>
      </c>
      <c r="E387">
        <v>1011</v>
      </c>
      <c r="F387">
        <v>1016</v>
      </c>
      <c r="G387" t="s">
        <v>398</v>
      </c>
      <c r="H387">
        <v>-25.920000000012799</v>
      </c>
      <c r="I387">
        <v>5</v>
      </c>
      <c r="J387" t="s">
        <v>16</v>
      </c>
      <c r="K387">
        <v>243.53</v>
      </c>
      <c r="L387">
        <v>245.22</v>
      </c>
      <c r="M387">
        <v>245.08</v>
      </c>
      <c r="N387">
        <v>244.9</v>
      </c>
      <c r="O387" s="1">
        <f t="shared" si="20"/>
        <v>6.9395967642589262E-3</v>
      </c>
      <c r="P387" s="1">
        <f t="shared" si="21"/>
        <v>-5.7091591224200933E-4</v>
      </c>
      <c r="Q387" t="str">
        <f t="shared" si="22"/>
        <v>IDLE</v>
      </c>
      <c r="R387">
        <f t="shared" si="23"/>
        <v>0</v>
      </c>
    </row>
    <row r="388" spans="1:18" x14ac:dyDescent="0.2">
      <c r="A388" t="s">
        <v>14</v>
      </c>
      <c r="B388">
        <v>20231206</v>
      </c>
      <c r="C388">
        <v>100981.79</v>
      </c>
      <c r="D388">
        <v>100939.15</v>
      </c>
      <c r="E388">
        <v>1020</v>
      </c>
      <c r="F388">
        <v>1021</v>
      </c>
      <c r="G388" t="s">
        <v>399</v>
      </c>
      <c r="H388">
        <v>-42.639999999999397</v>
      </c>
      <c r="I388">
        <v>1</v>
      </c>
      <c r="J388" t="s">
        <v>16</v>
      </c>
      <c r="K388">
        <v>243.8</v>
      </c>
      <c r="L388">
        <v>243.72</v>
      </c>
      <c r="M388">
        <v>245.56</v>
      </c>
      <c r="N388">
        <v>243.2</v>
      </c>
      <c r="O388" s="1">
        <f t="shared" ref="O388:O451" si="24">(L388/K388)-1</f>
        <v>-3.2813781788354479E-4</v>
      </c>
      <c r="P388" s="1">
        <f t="shared" ref="P388:P451" si="25">(M388/L388)-1</f>
        <v>7.5496471360578798E-3</v>
      </c>
      <c r="Q388" t="str">
        <f t="shared" ref="Q388:Q451" si="26">IF(J388="SELL",IF(O388&gt;=$O$1,"SELL","IDLE"),IF(P388&gt;=$P$1,"BUY","IDLE"))</f>
        <v>BUY</v>
      </c>
      <c r="R388">
        <f t="shared" ref="R388:R451" si="27">IF(Q388&lt;&gt;"IDLE",H388,0)</f>
        <v>-42.639999999999397</v>
      </c>
    </row>
    <row r="389" spans="1:18" x14ac:dyDescent="0.2">
      <c r="A389" t="s">
        <v>14</v>
      </c>
      <c r="B389">
        <v>20231206</v>
      </c>
      <c r="C389">
        <v>100939.15</v>
      </c>
      <c r="D389">
        <v>100924.57</v>
      </c>
      <c r="E389">
        <v>1248</v>
      </c>
      <c r="F389">
        <v>1249</v>
      </c>
      <c r="G389" t="s">
        <v>400</v>
      </c>
      <c r="H389">
        <v>-14.5799999999871</v>
      </c>
      <c r="I389">
        <v>1</v>
      </c>
      <c r="J389" t="s">
        <v>16</v>
      </c>
      <c r="K389">
        <v>245.18</v>
      </c>
      <c r="L389">
        <v>245.41</v>
      </c>
      <c r="M389">
        <v>246.45</v>
      </c>
      <c r="N389">
        <v>245.23</v>
      </c>
      <c r="O389" s="1">
        <f t="shared" si="24"/>
        <v>9.3808630393987791E-4</v>
      </c>
      <c r="P389" s="1">
        <f t="shared" si="25"/>
        <v>4.2378061203700579E-3</v>
      </c>
      <c r="Q389" t="str">
        <f t="shared" si="26"/>
        <v>IDLE</v>
      </c>
      <c r="R389">
        <f t="shared" si="27"/>
        <v>0</v>
      </c>
    </row>
    <row r="390" spans="1:18" x14ac:dyDescent="0.2">
      <c r="A390" t="s">
        <v>14</v>
      </c>
      <c r="B390">
        <v>20231206</v>
      </c>
      <c r="C390">
        <v>100924.57</v>
      </c>
      <c r="D390">
        <v>100881.11</v>
      </c>
      <c r="E390">
        <v>1334</v>
      </c>
      <c r="F390">
        <v>1335</v>
      </c>
      <c r="G390" t="s">
        <v>401</v>
      </c>
      <c r="H390">
        <v>-43.460000000006403</v>
      </c>
      <c r="I390">
        <v>1</v>
      </c>
      <c r="J390" t="s">
        <v>15</v>
      </c>
      <c r="K390">
        <v>242.14</v>
      </c>
      <c r="L390">
        <v>242.19</v>
      </c>
      <c r="M390">
        <v>242.74</v>
      </c>
      <c r="N390">
        <v>242.72</v>
      </c>
      <c r="O390" s="1">
        <f t="shared" si="24"/>
        <v>2.0649211200129969E-4</v>
      </c>
      <c r="P390" s="1">
        <f t="shared" si="25"/>
        <v>2.2709442999298002E-3</v>
      </c>
      <c r="Q390" t="str">
        <f t="shared" si="26"/>
        <v>SELL</v>
      </c>
      <c r="R390">
        <f t="shared" si="27"/>
        <v>-43.460000000006403</v>
      </c>
    </row>
    <row r="391" spans="1:18" x14ac:dyDescent="0.2">
      <c r="A391" t="s">
        <v>14</v>
      </c>
      <c r="B391">
        <v>20231206</v>
      </c>
      <c r="C391">
        <v>100881.11</v>
      </c>
      <c r="D391">
        <v>100904.89</v>
      </c>
      <c r="E391">
        <v>1339</v>
      </c>
      <c r="F391">
        <v>1351</v>
      </c>
      <c r="G391" t="s">
        <v>402</v>
      </c>
      <c r="H391">
        <v>23.7799999999988</v>
      </c>
      <c r="I391">
        <v>12</v>
      </c>
      <c r="J391" t="s">
        <v>15</v>
      </c>
      <c r="K391">
        <v>242.2</v>
      </c>
      <c r="L391">
        <v>242.51</v>
      </c>
      <c r="M391">
        <v>242.87</v>
      </c>
      <c r="N391">
        <v>242.22</v>
      </c>
      <c r="O391" s="1">
        <f t="shared" si="24"/>
        <v>1.2799339388935849E-3</v>
      </c>
      <c r="P391" s="1">
        <f t="shared" si="25"/>
        <v>1.4844748670157504E-3</v>
      </c>
      <c r="Q391" t="str">
        <f t="shared" si="26"/>
        <v>SELL</v>
      </c>
      <c r="R391">
        <f t="shared" si="27"/>
        <v>23.7799999999988</v>
      </c>
    </row>
    <row r="392" spans="1:18" x14ac:dyDescent="0.2">
      <c r="A392" t="s">
        <v>14</v>
      </c>
      <c r="B392">
        <v>20231206</v>
      </c>
      <c r="C392">
        <v>100904.89</v>
      </c>
      <c r="D392">
        <v>100863.07</v>
      </c>
      <c r="E392">
        <v>1355</v>
      </c>
      <c r="F392">
        <v>1412</v>
      </c>
      <c r="G392" t="s">
        <v>403</v>
      </c>
      <c r="H392">
        <v>-41.819999999992397</v>
      </c>
      <c r="I392">
        <v>17</v>
      </c>
      <c r="J392" t="s">
        <v>15</v>
      </c>
      <c r="K392">
        <v>241.85</v>
      </c>
      <c r="L392">
        <v>242.03</v>
      </c>
      <c r="M392">
        <v>242.51</v>
      </c>
      <c r="N392">
        <v>242.54</v>
      </c>
      <c r="O392" s="1">
        <f t="shared" si="24"/>
        <v>7.4426297291707577E-4</v>
      </c>
      <c r="P392" s="1">
        <f t="shared" si="25"/>
        <v>1.9832252200140399E-3</v>
      </c>
      <c r="Q392" t="str">
        <f t="shared" si="26"/>
        <v>SELL</v>
      </c>
      <c r="R392">
        <f t="shared" si="27"/>
        <v>-41.819999999992397</v>
      </c>
    </row>
    <row r="393" spans="1:18" x14ac:dyDescent="0.2">
      <c r="A393" t="s">
        <v>14</v>
      </c>
      <c r="B393">
        <v>20231206</v>
      </c>
      <c r="C393">
        <v>100863.07</v>
      </c>
      <c r="D393">
        <v>100845.85</v>
      </c>
      <c r="E393">
        <v>1416</v>
      </c>
      <c r="F393">
        <v>1417</v>
      </c>
      <c r="G393" t="s">
        <v>404</v>
      </c>
      <c r="H393">
        <v>-17.2200000000011</v>
      </c>
      <c r="I393">
        <v>1</v>
      </c>
      <c r="J393" t="s">
        <v>15</v>
      </c>
      <c r="K393">
        <v>242.01</v>
      </c>
      <c r="L393">
        <v>242.32</v>
      </c>
      <c r="M393">
        <v>242.52</v>
      </c>
      <c r="N393">
        <v>242.53</v>
      </c>
      <c r="O393" s="1">
        <f t="shared" si="24"/>
        <v>1.2809388041816749E-3</v>
      </c>
      <c r="P393" s="1">
        <f t="shared" si="25"/>
        <v>8.2535490260826627E-4</v>
      </c>
      <c r="Q393" t="str">
        <f t="shared" si="26"/>
        <v>SELL</v>
      </c>
      <c r="R393">
        <f t="shared" si="27"/>
        <v>-17.2200000000011</v>
      </c>
    </row>
    <row r="394" spans="1:18" x14ac:dyDescent="0.2">
      <c r="A394" t="s">
        <v>14</v>
      </c>
      <c r="B394">
        <v>20231206</v>
      </c>
      <c r="C394">
        <v>100845.85</v>
      </c>
      <c r="D394">
        <v>100818.79</v>
      </c>
      <c r="E394">
        <v>1421</v>
      </c>
      <c r="F394">
        <v>1425</v>
      </c>
      <c r="G394" t="s">
        <v>405</v>
      </c>
      <c r="H394">
        <v>-27.060000000012199</v>
      </c>
      <c r="I394">
        <v>4</v>
      </c>
      <c r="J394" t="s">
        <v>15</v>
      </c>
      <c r="K394">
        <v>241.94</v>
      </c>
      <c r="L394">
        <v>241.89</v>
      </c>
      <c r="M394">
        <v>242.59</v>
      </c>
      <c r="N394">
        <v>242.22</v>
      </c>
      <c r="O394" s="1">
        <f t="shared" si="24"/>
        <v>-2.0666280896097788E-4</v>
      </c>
      <c r="P394" s="1">
        <f t="shared" si="25"/>
        <v>2.8938773822813069E-3</v>
      </c>
      <c r="Q394" t="str">
        <f t="shared" si="26"/>
        <v>IDLE</v>
      </c>
      <c r="R394">
        <f t="shared" si="27"/>
        <v>0</v>
      </c>
    </row>
    <row r="395" spans="1:18" x14ac:dyDescent="0.2">
      <c r="A395" t="s">
        <v>14</v>
      </c>
      <c r="B395">
        <v>20231206</v>
      </c>
      <c r="C395">
        <v>100818.79</v>
      </c>
      <c r="D395">
        <v>100803.21</v>
      </c>
      <c r="E395">
        <v>1429</v>
      </c>
      <c r="F395">
        <v>1431</v>
      </c>
      <c r="G395" t="s">
        <v>406</v>
      </c>
      <c r="H395">
        <v>-15.5799999999871</v>
      </c>
      <c r="I395">
        <v>2</v>
      </c>
      <c r="J395" t="s">
        <v>15</v>
      </c>
      <c r="K395">
        <v>241.69</v>
      </c>
      <c r="L395">
        <v>241.65</v>
      </c>
      <c r="M395">
        <v>242.17</v>
      </c>
      <c r="N395">
        <v>241.84</v>
      </c>
      <c r="O395" s="1">
        <f t="shared" si="24"/>
        <v>-1.6550126194714299E-4</v>
      </c>
      <c r="P395" s="1">
        <f t="shared" si="25"/>
        <v>2.1518725429339192E-3</v>
      </c>
      <c r="Q395" t="str">
        <f t="shared" si="26"/>
        <v>IDLE</v>
      </c>
      <c r="R395">
        <f t="shared" si="27"/>
        <v>0</v>
      </c>
    </row>
    <row r="396" spans="1:18" x14ac:dyDescent="0.2">
      <c r="A396" t="s">
        <v>14</v>
      </c>
      <c r="B396">
        <v>20231206</v>
      </c>
      <c r="C396">
        <v>100803.21</v>
      </c>
      <c r="D396">
        <v>100783.53</v>
      </c>
      <c r="E396">
        <v>1435</v>
      </c>
      <c r="F396">
        <v>1436</v>
      </c>
      <c r="G396" t="s">
        <v>407</v>
      </c>
      <c r="H396">
        <v>-19.680000000007499</v>
      </c>
      <c r="I396">
        <v>1</v>
      </c>
      <c r="J396" t="s">
        <v>15</v>
      </c>
      <c r="K396">
        <v>241.64</v>
      </c>
      <c r="L396">
        <v>241.76</v>
      </c>
      <c r="M396">
        <v>242.09</v>
      </c>
      <c r="N396">
        <v>242</v>
      </c>
      <c r="O396" s="1">
        <f t="shared" si="24"/>
        <v>4.9660652209904121E-4</v>
      </c>
      <c r="P396" s="1">
        <f t="shared" si="25"/>
        <v>1.3649900727994435E-3</v>
      </c>
      <c r="Q396" t="str">
        <f t="shared" si="26"/>
        <v>SELL</v>
      </c>
      <c r="R396">
        <f t="shared" si="27"/>
        <v>-19.680000000007499</v>
      </c>
    </row>
    <row r="397" spans="1:18" x14ac:dyDescent="0.2">
      <c r="A397" t="s">
        <v>14</v>
      </c>
      <c r="B397">
        <v>20231206</v>
      </c>
      <c r="C397">
        <v>100783.53</v>
      </c>
      <c r="D397">
        <v>100761.39</v>
      </c>
      <c r="E397">
        <v>1440</v>
      </c>
      <c r="F397">
        <v>1441</v>
      </c>
      <c r="G397" t="s">
        <v>408</v>
      </c>
      <c r="H397">
        <v>-22.1399999999994</v>
      </c>
      <c r="I397">
        <v>1</v>
      </c>
      <c r="J397" t="s">
        <v>15</v>
      </c>
      <c r="K397">
        <v>241.75</v>
      </c>
      <c r="L397">
        <v>242.34</v>
      </c>
      <c r="M397">
        <v>242.39</v>
      </c>
      <c r="N397">
        <v>242.61</v>
      </c>
      <c r="O397" s="1">
        <f t="shared" si="24"/>
        <v>2.4405377456049315E-3</v>
      </c>
      <c r="P397" s="1">
        <f t="shared" si="25"/>
        <v>2.0632169678957979E-4</v>
      </c>
      <c r="Q397" t="str">
        <f t="shared" si="26"/>
        <v>SELL</v>
      </c>
      <c r="R397">
        <f t="shared" si="27"/>
        <v>-22.1399999999994</v>
      </c>
    </row>
    <row r="398" spans="1:18" x14ac:dyDescent="0.2">
      <c r="A398" t="s">
        <v>14</v>
      </c>
      <c r="B398">
        <v>20231206</v>
      </c>
      <c r="C398">
        <v>100761.39</v>
      </c>
      <c r="D398">
        <v>100752.37</v>
      </c>
      <c r="E398">
        <v>1445</v>
      </c>
      <c r="F398">
        <v>1446</v>
      </c>
      <c r="G398" t="s">
        <v>409</v>
      </c>
      <c r="H398">
        <v>-9.0200000000040692</v>
      </c>
      <c r="I398">
        <v>1</v>
      </c>
      <c r="J398" t="s">
        <v>15</v>
      </c>
      <c r="K398">
        <v>242.12</v>
      </c>
      <c r="L398">
        <v>242.52</v>
      </c>
      <c r="M398">
        <v>242.64</v>
      </c>
      <c r="N398">
        <v>242.63</v>
      </c>
      <c r="O398" s="1">
        <f t="shared" si="24"/>
        <v>1.6520733520568598E-3</v>
      </c>
      <c r="P398" s="1">
        <f t="shared" si="25"/>
        <v>4.9480455220174413E-4</v>
      </c>
      <c r="Q398" t="str">
        <f t="shared" si="26"/>
        <v>SELL</v>
      </c>
      <c r="R398">
        <f t="shared" si="27"/>
        <v>-9.0200000000040692</v>
      </c>
    </row>
    <row r="399" spans="1:18" x14ac:dyDescent="0.2">
      <c r="A399" t="s">
        <v>14</v>
      </c>
      <c r="B399">
        <v>20231206</v>
      </c>
      <c r="C399">
        <v>100752.37</v>
      </c>
      <c r="D399">
        <v>100881.11</v>
      </c>
      <c r="E399">
        <v>1505</v>
      </c>
      <c r="F399">
        <v>1534</v>
      </c>
      <c r="G399" t="s">
        <v>410</v>
      </c>
      <c r="H399">
        <v>128.74000000000501</v>
      </c>
      <c r="I399">
        <v>29</v>
      </c>
      <c r="J399" t="s">
        <v>15</v>
      </c>
      <c r="K399">
        <v>242.05</v>
      </c>
      <c r="L399">
        <v>242.17</v>
      </c>
      <c r="M399">
        <v>242.77</v>
      </c>
      <c r="N399">
        <v>240.6</v>
      </c>
      <c r="O399" s="1">
        <f t="shared" si="24"/>
        <v>4.9576533773998399E-4</v>
      </c>
      <c r="P399" s="1">
        <f t="shared" si="25"/>
        <v>2.4775983813025704E-3</v>
      </c>
      <c r="Q399" t="str">
        <f t="shared" si="26"/>
        <v>SELL</v>
      </c>
      <c r="R399">
        <f t="shared" si="27"/>
        <v>128.74000000000501</v>
      </c>
    </row>
    <row r="400" spans="1:18" x14ac:dyDescent="0.2">
      <c r="A400" t="s">
        <v>14</v>
      </c>
      <c r="B400">
        <v>20231206</v>
      </c>
      <c r="C400">
        <v>100881.11</v>
      </c>
      <c r="D400">
        <v>100872.81</v>
      </c>
      <c r="E400">
        <v>1538</v>
      </c>
      <c r="F400">
        <v>1540</v>
      </c>
      <c r="G400" t="s">
        <v>411</v>
      </c>
      <c r="H400">
        <v>-8.3000000000029104</v>
      </c>
      <c r="I400">
        <v>2</v>
      </c>
      <c r="J400" t="s">
        <v>15</v>
      </c>
      <c r="K400">
        <v>239.97</v>
      </c>
      <c r="L400">
        <v>240.28</v>
      </c>
      <c r="M400">
        <v>240.56</v>
      </c>
      <c r="N400">
        <v>240.38</v>
      </c>
      <c r="O400" s="1">
        <f t="shared" si="24"/>
        <v>1.2918281451848035E-3</v>
      </c>
      <c r="P400" s="1">
        <f t="shared" si="25"/>
        <v>1.1653071416679595E-3</v>
      </c>
      <c r="Q400" t="str">
        <f t="shared" si="26"/>
        <v>SELL</v>
      </c>
      <c r="R400">
        <f t="shared" si="27"/>
        <v>-8.3000000000029104</v>
      </c>
    </row>
    <row r="401" spans="1:18" x14ac:dyDescent="0.2">
      <c r="A401" t="s">
        <v>14</v>
      </c>
      <c r="B401">
        <v>20231206</v>
      </c>
      <c r="C401">
        <v>100872.81</v>
      </c>
      <c r="D401">
        <v>100969.92</v>
      </c>
      <c r="E401">
        <v>1544</v>
      </c>
      <c r="F401">
        <v>1557</v>
      </c>
      <c r="G401" t="s">
        <v>412</v>
      </c>
      <c r="H401">
        <v>97.110000000000497</v>
      </c>
      <c r="I401">
        <v>13</v>
      </c>
      <c r="J401" t="s">
        <v>15</v>
      </c>
      <c r="K401">
        <v>240.16</v>
      </c>
      <c r="L401">
        <v>240.44</v>
      </c>
      <c r="M401">
        <v>240.55</v>
      </c>
      <c r="N401">
        <v>239.27</v>
      </c>
      <c r="O401" s="1">
        <f t="shared" si="24"/>
        <v>1.1658894070618597E-3</v>
      </c>
      <c r="P401" s="1">
        <f t="shared" si="25"/>
        <v>4.5749459324584407E-4</v>
      </c>
      <c r="Q401" t="str">
        <f t="shared" si="26"/>
        <v>SELL</v>
      </c>
      <c r="R401">
        <f t="shared" si="27"/>
        <v>97.110000000000497</v>
      </c>
    </row>
    <row r="402" spans="1:18" x14ac:dyDescent="0.2">
      <c r="A402" t="s">
        <v>14</v>
      </c>
      <c r="B402">
        <v>20231207</v>
      </c>
      <c r="C402">
        <v>100969.92</v>
      </c>
      <c r="D402">
        <v>100991.5</v>
      </c>
      <c r="E402">
        <v>933</v>
      </c>
      <c r="F402">
        <v>937</v>
      </c>
      <c r="G402" t="s">
        <v>413</v>
      </c>
      <c r="H402">
        <v>21.5800000000017</v>
      </c>
      <c r="I402">
        <v>4</v>
      </c>
      <c r="J402" t="s">
        <v>16</v>
      </c>
      <c r="K402">
        <v>238.56</v>
      </c>
      <c r="L402">
        <v>240.25</v>
      </c>
      <c r="M402">
        <v>241.59</v>
      </c>
      <c r="N402">
        <v>240.51</v>
      </c>
      <c r="O402" s="1">
        <f t="shared" si="24"/>
        <v>7.0841716968477186E-3</v>
      </c>
      <c r="P402" s="1">
        <f t="shared" si="25"/>
        <v>5.5775234131114626E-3</v>
      </c>
      <c r="Q402" t="str">
        <f t="shared" si="26"/>
        <v>BUY</v>
      </c>
      <c r="R402">
        <f t="shared" si="27"/>
        <v>21.5800000000017</v>
      </c>
    </row>
    <row r="403" spans="1:18" x14ac:dyDescent="0.2">
      <c r="A403" t="s">
        <v>14</v>
      </c>
      <c r="B403">
        <v>20231207</v>
      </c>
      <c r="C403">
        <v>100991.5</v>
      </c>
      <c r="D403">
        <v>100920.94</v>
      </c>
      <c r="E403">
        <v>948</v>
      </c>
      <c r="F403">
        <v>952</v>
      </c>
      <c r="G403" t="s">
        <v>414</v>
      </c>
      <c r="H403">
        <v>-70.559999999997601</v>
      </c>
      <c r="I403">
        <v>4</v>
      </c>
      <c r="J403" t="s">
        <v>15</v>
      </c>
      <c r="K403">
        <v>236.92</v>
      </c>
      <c r="L403">
        <v>237.97</v>
      </c>
      <c r="M403">
        <v>239.06</v>
      </c>
      <c r="N403">
        <v>238.81</v>
      </c>
      <c r="O403" s="1">
        <f t="shared" si="24"/>
        <v>4.4318757386458962E-3</v>
      </c>
      <c r="P403" s="1">
        <f t="shared" si="25"/>
        <v>4.580409295289245E-3</v>
      </c>
      <c r="Q403" t="str">
        <f t="shared" si="26"/>
        <v>SELL</v>
      </c>
      <c r="R403">
        <f t="shared" si="27"/>
        <v>-70.559999999997601</v>
      </c>
    </row>
    <row r="404" spans="1:18" x14ac:dyDescent="0.2">
      <c r="A404" t="s">
        <v>14</v>
      </c>
      <c r="B404">
        <v>20231207</v>
      </c>
      <c r="C404">
        <v>100920.94</v>
      </c>
      <c r="D404">
        <v>100901.85</v>
      </c>
      <c r="E404">
        <v>956</v>
      </c>
      <c r="F404">
        <v>958</v>
      </c>
      <c r="G404" t="s">
        <v>415</v>
      </c>
      <c r="H404">
        <v>-19.0899999999965</v>
      </c>
      <c r="I404">
        <v>2</v>
      </c>
      <c r="J404" t="s">
        <v>15</v>
      </c>
      <c r="K404">
        <v>237.47</v>
      </c>
      <c r="L404">
        <v>238.3</v>
      </c>
      <c r="M404">
        <v>238.78</v>
      </c>
      <c r="N404">
        <v>238.53</v>
      </c>
      <c r="O404" s="1">
        <f t="shared" si="24"/>
        <v>3.4951783383163626E-3</v>
      </c>
      <c r="P404" s="1">
        <f t="shared" si="25"/>
        <v>2.0142677297523282E-3</v>
      </c>
      <c r="Q404" t="str">
        <f t="shared" si="26"/>
        <v>SELL</v>
      </c>
      <c r="R404">
        <f t="shared" si="27"/>
        <v>-19.0899999999965</v>
      </c>
    </row>
    <row r="405" spans="1:18" x14ac:dyDescent="0.2">
      <c r="A405" t="s">
        <v>14</v>
      </c>
      <c r="B405">
        <v>20231207</v>
      </c>
      <c r="C405">
        <v>100901.85</v>
      </c>
      <c r="D405">
        <v>100855.65</v>
      </c>
      <c r="E405">
        <v>1002</v>
      </c>
      <c r="F405">
        <v>1007</v>
      </c>
      <c r="G405" t="s">
        <v>416</v>
      </c>
      <c r="H405">
        <v>-46.200000000011599</v>
      </c>
      <c r="I405">
        <v>5</v>
      </c>
      <c r="J405" t="s">
        <v>15</v>
      </c>
      <c r="K405">
        <v>237.77</v>
      </c>
      <c r="L405">
        <v>237.69</v>
      </c>
      <c r="M405">
        <v>238.63</v>
      </c>
      <c r="N405">
        <v>238.24</v>
      </c>
      <c r="O405" s="1">
        <f t="shared" si="24"/>
        <v>-3.3645960381889495E-4</v>
      </c>
      <c r="P405" s="1">
        <f t="shared" si="25"/>
        <v>3.9547309520804319E-3</v>
      </c>
      <c r="Q405" t="str">
        <f t="shared" si="26"/>
        <v>IDLE</v>
      </c>
      <c r="R405">
        <f t="shared" si="27"/>
        <v>0</v>
      </c>
    </row>
    <row r="406" spans="1:18" x14ac:dyDescent="0.2">
      <c r="A406" t="s">
        <v>14</v>
      </c>
      <c r="B406">
        <v>20231207</v>
      </c>
      <c r="C406">
        <v>100855.65</v>
      </c>
      <c r="D406">
        <v>100840.71</v>
      </c>
      <c r="E406">
        <v>1011</v>
      </c>
      <c r="F406">
        <v>1012</v>
      </c>
      <c r="G406" t="s">
        <v>417</v>
      </c>
      <c r="H406">
        <v>-14.9399999999877</v>
      </c>
      <c r="I406">
        <v>1</v>
      </c>
      <c r="J406" t="s">
        <v>15</v>
      </c>
      <c r="K406">
        <v>237.45</v>
      </c>
      <c r="L406">
        <v>238.95</v>
      </c>
      <c r="M406">
        <v>238.69</v>
      </c>
      <c r="N406">
        <v>239.13</v>
      </c>
      <c r="O406" s="1">
        <f t="shared" si="24"/>
        <v>6.3171193935565029E-3</v>
      </c>
      <c r="P406" s="1">
        <f t="shared" si="25"/>
        <v>-1.0880937434609717E-3</v>
      </c>
      <c r="Q406" t="str">
        <f t="shared" si="26"/>
        <v>SELL</v>
      </c>
      <c r="R406">
        <f t="shared" si="27"/>
        <v>-14.9399999999877</v>
      </c>
    </row>
    <row r="407" spans="1:18" x14ac:dyDescent="0.2">
      <c r="A407" t="s">
        <v>14</v>
      </c>
      <c r="B407">
        <v>20231207</v>
      </c>
      <c r="C407">
        <v>100840.71</v>
      </c>
      <c r="D407">
        <v>100881.71</v>
      </c>
      <c r="E407">
        <v>1102</v>
      </c>
      <c r="F407">
        <v>1111</v>
      </c>
      <c r="G407" t="s">
        <v>418</v>
      </c>
      <c r="H407">
        <v>41</v>
      </c>
      <c r="I407">
        <v>9</v>
      </c>
      <c r="J407" t="s">
        <v>16</v>
      </c>
      <c r="K407">
        <v>241.95</v>
      </c>
      <c r="L407">
        <v>242.58</v>
      </c>
      <c r="M407">
        <v>243.02</v>
      </c>
      <c r="N407">
        <v>243.08</v>
      </c>
      <c r="O407" s="1">
        <f t="shared" si="24"/>
        <v>2.603843769373837E-3</v>
      </c>
      <c r="P407" s="1">
        <f t="shared" si="25"/>
        <v>1.8138346112621662E-3</v>
      </c>
      <c r="Q407" t="str">
        <f t="shared" si="26"/>
        <v>IDLE</v>
      </c>
      <c r="R407">
        <f t="shared" si="27"/>
        <v>0</v>
      </c>
    </row>
    <row r="408" spans="1:18" x14ac:dyDescent="0.2">
      <c r="A408" t="s">
        <v>14</v>
      </c>
      <c r="B408">
        <v>20231207</v>
      </c>
      <c r="C408">
        <v>100881.71</v>
      </c>
      <c r="D408">
        <v>100873.51</v>
      </c>
      <c r="E408">
        <v>1132</v>
      </c>
      <c r="F408">
        <v>1156</v>
      </c>
      <c r="G408" t="s">
        <v>419</v>
      </c>
      <c r="H408">
        <v>-8.2000000000116398</v>
      </c>
      <c r="I408">
        <v>24</v>
      </c>
      <c r="J408" t="s">
        <v>16</v>
      </c>
      <c r="K408">
        <v>241.35</v>
      </c>
      <c r="L408">
        <v>242.42</v>
      </c>
      <c r="M408">
        <v>242.47</v>
      </c>
      <c r="N408">
        <v>242.32</v>
      </c>
      <c r="O408" s="1">
        <f t="shared" si="24"/>
        <v>4.4333954837372236E-3</v>
      </c>
      <c r="P408" s="1">
        <f t="shared" si="25"/>
        <v>2.062536094382672E-4</v>
      </c>
      <c r="Q408" t="str">
        <f t="shared" si="26"/>
        <v>IDLE</v>
      </c>
      <c r="R408">
        <f t="shared" si="27"/>
        <v>0</v>
      </c>
    </row>
    <row r="409" spans="1:18" x14ac:dyDescent="0.2">
      <c r="A409" t="s">
        <v>14</v>
      </c>
      <c r="B409">
        <v>20231207</v>
      </c>
      <c r="C409">
        <v>100873.51</v>
      </c>
      <c r="D409">
        <v>100864.49</v>
      </c>
      <c r="E409">
        <v>1403</v>
      </c>
      <c r="F409">
        <v>1405</v>
      </c>
      <c r="G409" t="s">
        <v>420</v>
      </c>
      <c r="H409">
        <v>-9.0199999999895208</v>
      </c>
      <c r="I409">
        <v>2</v>
      </c>
      <c r="J409" t="s">
        <v>16</v>
      </c>
      <c r="K409">
        <v>241.09</v>
      </c>
      <c r="L409">
        <v>241.41</v>
      </c>
      <c r="M409">
        <v>241.66</v>
      </c>
      <c r="N409">
        <v>241.3</v>
      </c>
      <c r="O409" s="1">
        <f t="shared" si="24"/>
        <v>1.3273051557509685E-3</v>
      </c>
      <c r="P409" s="1">
        <f t="shared" si="25"/>
        <v>1.0355826187813388E-3</v>
      </c>
      <c r="Q409" t="str">
        <f t="shared" si="26"/>
        <v>IDLE</v>
      </c>
      <c r="R409">
        <f t="shared" si="27"/>
        <v>0</v>
      </c>
    </row>
    <row r="410" spans="1:18" x14ac:dyDescent="0.2">
      <c r="A410" t="s">
        <v>14</v>
      </c>
      <c r="B410">
        <v>20231207</v>
      </c>
      <c r="C410">
        <v>100864.49</v>
      </c>
      <c r="D410">
        <v>100847.27</v>
      </c>
      <c r="E410">
        <v>1423</v>
      </c>
      <c r="F410">
        <v>1425</v>
      </c>
      <c r="G410" t="s">
        <v>421</v>
      </c>
      <c r="H410">
        <v>-17.2200000000011</v>
      </c>
      <c r="I410">
        <v>2</v>
      </c>
      <c r="J410" t="s">
        <v>16</v>
      </c>
      <c r="K410">
        <v>241.07</v>
      </c>
      <c r="L410">
        <v>241.4</v>
      </c>
      <c r="M410">
        <v>241.75</v>
      </c>
      <c r="N410">
        <v>241.19</v>
      </c>
      <c r="O410" s="1">
        <f t="shared" si="24"/>
        <v>1.3688970008711721E-3</v>
      </c>
      <c r="P410" s="1">
        <f t="shared" si="25"/>
        <v>1.4498757249379324E-3</v>
      </c>
      <c r="Q410" t="str">
        <f t="shared" si="26"/>
        <v>IDLE</v>
      </c>
      <c r="R410">
        <f t="shared" si="27"/>
        <v>0</v>
      </c>
    </row>
    <row r="411" spans="1:18" x14ac:dyDescent="0.2">
      <c r="A411" t="s">
        <v>14</v>
      </c>
      <c r="B411">
        <v>20231207</v>
      </c>
      <c r="C411">
        <v>100847.27</v>
      </c>
      <c r="D411">
        <v>100831.69</v>
      </c>
      <c r="E411">
        <v>1429</v>
      </c>
      <c r="F411">
        <v>1430</v>
      </c>
      <c r="G411" t="s">
        <v>422</v>
      </c>
      <c r="H411">
        <v>-15.5800000000017</v>
      </c>
      <c r="I411">
        <v>1</v>
      </c>
      <c r="J411" t="s">
        <v>16</v>
      </c>
      <c r="K411">
        <v>241.21</v>
      </c>
      <c r="L411">
        <v>241.42</v>
      </c>
      <c r="M411">
        <v>241.63</v>
      </c>
      <c r="N411">
        <v>241.23</v>
      </c>
      <c r="O411" s="1">
        <f t="shared" si="24"/>
        <v>8.7061067119931224E-4</v>
      </c>
      <c r="P411" s="1">
        <f t="shared" si="25"/>
        <v>8.6985336757527953E-4</v>
      </c>
      <c r="Q411" t="str">
        <f t="shared" si="26"/>
        <v>IDLE</v>
      </c>
      <c r="R411">
        <f t="shared" si="27"/>
        <v>0</v>
      </c>
    </row>
    <row r="412" spans="1:18" x14ac:dyDescent="0.2">
      <c r="A412" t="s">
        <v>14</v>
      </c>
      <c r="B412">
        <v>20231207</v>
      </c>
      <c r="C412">
        <v>100831.69</v>
      </c>
      <c r="D412">
        <v>100828.41</v>
      </c>
      <c r="E412">
        <v>1434</v>
      </c>
      <c r="F412">
        <v>1435</v>
      </c>
      <c r="G412" t="s">
        <v>423</v>
      </c>
      <c r="H412">
        <v>-3.2799999999988301</v>
      </c>
      <c r="I412">
        <v>1</v>
      </c>
      <c r="J412" t="s">
        <v>16</v>
      </c>
      <c r="K412">
        <v>241.15</v>
      </c>
      <c r="L412">
        <v>241.11</v>
      </c>
      <c r="M412">
        <v>241.39</v>
      </c>
      <c r="N412">
        <v>241.07</v>
      </c>
      <c r="O412" s="1">
        <f t="shared" si="24"/>
        <v>-1.658718639850898E-4</v>
      </c>
      <c r="P412" s="1">
        <f t="shared" si="25"/>
        <v>1.1612956741735569E-3</v>
      </c>
      <c r="Q412" t="str">
        <f t="shared" si="26"/>
        <v>IDLE</v>
      </c>
      <c r="R412">
        <f t="shared" si="27"/>
        <v>0</v>
      </c>
    </row>
    <row r="413" spans="1:18" x14ac:dyDescent="0.2">
      <c r="A413" t="s">
        <v>14</v>
      </c>
      <c r="B413">
        <v>20231207</v>
      </c>
      <c r="C413">
        <v>100828.41</v>
      </c>
      <c r="D413">
        <v>100818.57</v>
      </c>
      <c r="E413">
        <v>1502</v>
      </c>
      <c r="F413">
        <v>1522</v>
      </c>
      <c r="G413" t="s">
        <v>424</v>
      </c>
      <c r="H413">
        <v>-9.8399999999965004</v>
      </c>
      <c r="I413">
        <v>20</v>
      </c>
      <c r="J413" t="s">
        <v>16</v>
      </c>
      <c r="K413">
        <v>240.76</v>
      </c>
      <c r="L413">
        <v>241.13</v>
      </c>
      <c r="M413">
        <v>241.14</v>
      </c>
      <c r="N413">
        <v>241.01</v>
      </c>
      <c r="O413" s="1">
        <f t="shared" si="24"/>
        <v>1.5368001329123526E-3</v>
      </c>
      <c r="P413" s="1">
        <f t="shared" si="25"/>
        <v>4.1471405465953737E-5</v>
      </c>
      <c r="Q413" t="str">
        <f t="shared" si="26"/>
        <v>IDLE</v>
      </c>
      <c r="R413">
        <f t="shared" si="27"/>
        <v>0</v>
      </c>
    </row>
    <row r="414" spans="1:18" x14ac:dyDescent="0.2">
      <c r="A414" t="s">
        <v>14</v>
      </c>
      <c r="B414">
        <v>20231207</v>
      </c>
      <c r="C414">
        <v>100818.57</v>
      </c>
      <c r="D414">
        <v>100816.93</v>
      </c>
      <c r="E414">
        <v>1531</v>
      </c>
      <c r="F414">
        <v>1532</v>
      </c>
      <c r="G414" t="s">
        <v>425</v>
      </c>
      <c r="H414">
        <v>-1.6400000000139601</v>
      </c>
      <c r="I414">
        <v>1</v>
      </c>
      <c r="J414" t="s">
        <v>16</v>
      </c>
      <c r="K414">
        <v>240.87</v>
      </c>
      <c r="L414">
        <v>241.71</v>
      </c>
      <c r="M414">
        <v>241.89</v>
      </c>
      <c r="N414">
        <v>241.69</v>
      </c>
      <c r="O414" s="1">
        <f t="shared" si="24"/>
        <v>3.4873583260679464E-3</v>
      </c>
      <c r="P414" s="1">
        <f t="shared" si="25"/>
        <v>7.4469405485899642E-4</v>
      </c>
      <c r="Q414" t="str">
        <f t="shared" si="26"/>
        <v>IDLE</v>
      </c>
      <c r="R414">
        <f t="shared" si="27"/>
        <v>0</v>
      </c>
    </row>
    <row r="415" spans="1:18" x14ac:dyDescent="0.2">
      <c r="A415" t="s">
        <v>14</v>
      </c>
      <c r="B415">
        <v>20231207</v>
      </c>
      <c r="C415">
        <v>100816.93</v>
      </c>
      <c r="D415">
        <v>100904.67</v>
      </c>
      <c r="E415">
        <v>1536</v>
      </c>
      <c r="F415">
        <v>1557</v>
      </c>
      <c r="G415" t="s">
        <v>426</v>
      </c>
      <c r="H415">
        <v>87.740000000005196</v>
      </c>
      <c r="I415">
        <v>21</v>
      </c>
      <c r="J415" t="s">
        <v>16</v>
      </c>
      <c r="K415">
        <v>241.3</v>
      </c>
      <c r="L415">
        <v>241.4</v>
      </c>
      <c r="M415">
        <v>241.87</v>
      </c>
      <c r="N415">
        <v>242.47</v>
      </c>
      <c r="O415" s="1">
        <f t="shared" si="24"/>
        <v>4.144218814752243E-4</v>
      </c>
      <c r="P415" s="1">
        <f t="shared" si="25"/>
        <v>1.9469759734880299E-3</v>
      </c>
      <c r="Q415" t="str">
        <f t="shared" si="26"/>
        <v>IDLE</v>
      </c>
      <c r="R415">
        <f t="shared" si="27"/>
        <v>0</v>
      </c>
    </row>
    <row r="416" spans="1:18" x14ac:dyDescent="0.2">
      <c r="A416" t="s">
        <v>14</v>
      </c>
      <c r="B416">
        <v>20231208</v>
      </c>
      <c r="C416">
        <v>100904.67</v>
      </c>
      <c r="D416">
        <v>100891.55</v>
      </c>
      <c r="E416">
        <v>933</v>
      </c>
      <c r="F416">
        <v>935</v>
      </c>
      <c r="G416" t="s">
        <v>427</v>
      </c>
      <c r="H416">
        <v>-13.119999999995301</v>
      </c>
      <c r="I416">
        <v>2</v>
      </c>
      <c r="J416" t="s">
        <v>15</v>
      </c>
      <c r="K416">
        <v>240.24</v>
      </c>
      <c r="L416">
        <v>241.47</v>
      </c>
      <c r="M416">
        <v>243.39</v>
      </c>
      <c r="N416">
        <v>241.63</v>
      </c>
      <c r="O416" s="1">
        <f t="shared" si="24"/>
        <v>5.1198801198801824E-3</v>
      </c>
      <c r="P416" s="1">
        <f t="shared" si="25"/>
        <v>7.951298297925069E-3</v>
      </c>
      <c r="Q416" t="str">
        <f t="shared" si="26"/>
        <v>SELL</v>
      </c>
      <c r="R416">
        <f t="shared" si="27"/>
        <v>-13.119999999995301</v>
      </c>
    </row>
    <row r="417" spans="1:18" x14ac:dyDescent="0.2">
      <c r="A417" t="s">
        <v>14</v>
      </c>
      <c r="B417">
        <v>20231208</v>
      </c>
      <c r="C417">
        <v>100891.55</v>
      </c>
      <c r="D417">
        <v>100874.33</v>
      </c>
      <c r="E417">
        <v>949</v>
      </c>
      <c r="F417">
        <v>951</v>
      </c>
      <c r="G417" t="s">
        <v>428</v>
      </c>
      <c r="H417">
        <v>-17.2200000000011</v>
      </c>
      <c r="I417">
        <v>2</v>
      </c>
      <c r="J417" t="s">
        <v>16</v>
      </c>
      <c r="K417">
        <v>242.4</v>
      </c>
      <c r="L417">
        <v>242.4</v>
      </c>
      <c r="M417">
        <v>243.42</v>
      </c>
      <c r="N417">
        <v>242.19</v>
      </c>
      <c r="O417" s="1">
        <f t="shared" si="24"/>
        <v>0</v>
      </c>
      <c r="P417" s="1">
        <f t="shared" si="25"/>
        <v>4.2079207920791006E-3</v>
      </c>
      <c r="Q417" t="str">
        <f t="shared" si="26"/>
        <v>IDLE</v>
      </c>
      <c r="R417">
        <f t="shared" si="27"/>
        <v>0</v>
      </c>
    </row>
    <row r="418" spans="1:18" x14ac:dyDescent="0.2">
      <c r="A418" t="s">
        <v>14</v>
      </c>
      <c r="B418">
        <v>20231208</v>
      </c>
      <c r="C418">
        <v>100874.33</v>
      </c>
      <c r="D418">
        <v>101035.05</v>
      </c>
      <c r="E418">
        <v>955</v>
      </c>
      <c r="F418">
        <v>1012</v>
      </c>
      <c r="G418" t="s">
        <v>429</v>
      </c>
      <c r="H418">
        <v>160.72000000000099</v>
      </c>
      <c r="I418">
        <v>17</v>
      </c>
      <c r="J418" t="s">
        <v>16</v>
      </c>
      <c r="K418">
        <v>241.4</v>
      </c>
      <c r="L418">
        <v>241.48</v>
      </c>
      <c r="M418">
        <v>242.97</v>
      </c>
      <c r="N418">
        <v>243.44</v>
      </c>
      <c r="O418" s="1">
        <f t="shared" si="24"/>
        <v>3.3140016569999098E-4</v>
      </c>
      <c r="P418" s="1">
        <f t="shared" si="25"/>
        <v>6.1702832532715135E-3</v>
      </c>
      <c r="Q418" t="str">
        <f t="shared" si="26"/>
        <v>BUY</v>
      </c>
      <c r="R418">
        <f t="shared" si="27"/>
        <v>160.72000000000099</v>
      </c>
    </row>
    <row r="419" spans="1:18" x14ac:dyDescent="0.2">
      <c r="A419" t="s">
        <v>14</v>
      </c>
      <c r="B419">
        <v>20231208</v>
      </c>
      <c r="C419">
        <v>101035.05</v>
      </c>
      <c r="D419">
        <v>100993.74</v>
      </c>
      <c r="E419">
        <v>1016</v>
      </c>
      <c r="F419">
        <v>1018</v>
      </c>
      <c r="G419" t="s">
        <v>430</v>
      </c>
      <c r="H419">
        <v>-41.309999999997601</v>
      </c>
      <c r="I419">
        <v>2</v>
      </c>
      <c r="J419" t="s">
        <v>16</v>
      </c>
      <c r="K419">
        <v>243.46</v>
      </c>
      <c r="L419">
        <v>244.24</v>
      </c>
      <c r="M419">
        <v>244.29</v>
      </c>
      <c r="N419">
        <v>243.73</v>
      </c>
      <c r="O419" s="1">
        <f t="shared" si="24"/>
        <v>3.2038117144499445E-3</v>
      </c>
      <c r="P419" s="1">
        <f t="shared" si="25"/>
        <v>2.0471667212573763E-4</v>
      </c>
      <c r="Q419" t="str">
        <f t="shared" si="26"/>
        <v>IDLE</v>
      </c>
      <c r="R419">
        <f t="shared" si="27"/>
        <v>0</v>
      </c>
    </row>
    <row r="420" spans="1:18" x14ac:dyDescent="0.2">
      <c r="A420" t="s">
        <v>14</v>
      </c>
      <c r="B420">
        <v>20231208</v>
      </c>
      <c r="C420">
        <v>100993.74</v>
      </c>
      <c r="D420">
        <v>100951.62</v>
      </c>
      <c r="E420">
        <v>1022</v>
      </c>
      <c r="F420">
        <v>1033</v>
      </c>
      <c r="G420" t="s">
        <v>431</v>
      </c>
      <c r="H420">
        <v>-42.120000000009803</v>
      </c>
      <c r="I420">
        <v>11</v>
      </c>
      <c r="J420" t="s">
        <v>16</v>
      </c>
      <c r="K420">
        <v>243.47</v>
      </c>
      <c r="L420">
        <v>244.29</v>
      </c>
      <c r="M420">
        <v>244.25</v>
      </c>
      <c r="N420">
        <v>243.77</v>
      </c>
      <c r="O420" s="1">
        <f t="shared" si="24"/>
        <v>3.3679714133156846E-3</v>
      </c>
      <c r="P420" s="1">
        <f t="shared" si="25"/>
        <v>-1.6373981743011967E-4</v>
      </c>
      <c r="Q420" t="str">
        <f t="shared" si="26"/>
        <v>IDLE</v>
      </c>
      <c r="R420">
        <f t="shared" si="27"/>
        <v>0</v>
      </c>
    </row>
    <row r="421" spans="1:18" x14ac:dyDescent="0.2">
      <c r="A421" t="s">
        <v>14</v>
      </c>
      <c r="B421">
        <v>20231208</v>
      </c>
      <c r="C421">
        <v>100951.62</v>
      </c>
      <c r="D421">
        <v>100919.64</v>
      </c>
      <c r="E421">
        <v>1037</v>
      </c>
      <c r="F421">
        <v>1038</v>
      </c>
      <c r="G421" t="s">
        <v>432</v>
      </c>
      <c r="H421">
        <v>-31.979999999995901</v>
      </c>
      <c r="I421">
        <v>1</v>
      </c>
      <c r="J421" t="s">
        <v>16</v>
      </c>
      <c r="K421">
        <v>243.22</v>
      </c>
      <c r="L421">
        <v>243.34</v>
      </c>
      <c r="M421">
        <v>244.82</v>
      </c>
      <c r="N421">
        <v>242.95</v>
      </c>
      <c r="O421" s="1">
        <f t="shared" si="24"/>
        <v>4.9338047857916401E-4</v>
      </c>
      <c r="P421" s="1">
        <f t="shared" si="25"/>
        <v>6.0820251499957845E-3</v>
      </c>
      <c r="Q421" t="str">
        <f t="shared" si="26"/>
        <v>BUY</v>
      </c>
      <c r="R421">
        <f t="shared" si="27"/>
        <v>-31.979999999995901</v>
      </c>
    </row>
    <row r="422" spans="1:18" x14ac:dyDescent="0.2">
      <c r="A422" t="s">
        <v>14</v>
      </c>
      <c r="B422">
        <v>20231208</v>
      </c>
      <c r="C422">
        <v>100919.64</v>
      </c>
      <c r="D422">
        <v>100957.71</v>
      </c>
      <c r="E422">
        <v>1055</v>
      </c>
      <c r="F422">
        <v>1103</v>
      </c>
      <c r="G422" t="s">
        <v>433</v>
      </c>
      <c r="H422">
        <v>38.0700000000069</v>
      </c>
      <c r="I422">
        <v>8</v>
      </c>
      <c r="J422" t="s">
        <v>16</v>
      </c>
      <c r="K422">
        <v>243.43</v>
      </c>
      <c r="L422">
        <v>244.08</v>
      </c>
      <c r="M422">
        <v>244.1</v>
      </c>
      <c r="N422">
        <v>244.55</v>
      </c>
      <c r="O422" s="1">
        <f t="shared" si="24"/>
        <v>2.6701721234030362E-3</v>
      </c>
      <c r="P422" s="1">
        <f t="shared" si="25"/>
        <v>8.1940347427034155E-5</v>
      </c>
      <c r="Q422" t="str">
        <f t="shared" si="26"/>
        <v>IDLE</v>
      </c>
      <c r="R422">
        <f t="shared" si="27"/>
        <v>0</v>
      </c>
    </row>
    <row r="423" spans="1:18" x14ac:dyDescent="0.2">
      <c r="A423" t="s">
        <v>14</v>
      </c>
      <c r="B423">
        <v>20231208</v>
      </c>
      <c r="C423">
        <v>100957.71</v>
      </c>
      <c r="D423">
        <v>100930.17</v>
      </c>
      <c r="E423">
        <v>1107</v>
      </c>
      <c r="F423">
        <v>1110</v>
      </c>
      <c r="G423" t="s">
        <v>434</v>
      </c>
      <c r="H423">
        <v>-27.540000000008099</v>
      </c>
      <c r="I423">
        <v>3</v>
      </c>
      <c r="J423" t="s">
        <v>16</v>
      </c>
      <c r="K423">
        <v>244.04</v>
      </c>
      <c r="L423">
        <v>244.08</v>
      </c>
      <c r="M423">
        <v>245.12</v>
      </c>
      <c r="N423">
        <v>243.74</v>
      </c>
      <c r="O423" s="1">
        <f t="shared" si="24"/>
        <v>1.6390755613837626E-4</v>
      </c>
      <c r="P423" s="1">
        <f t="shared" si="25"/>
        <v>4.2608980662077744E-3</v>
      </c>
      <c r="Q423" t="str">
        <f t="shared" si="26"/>
        <v>IDLE</v>
      </c>
      <c r="R423">
        <f t="shared" si="27"/>
        <v>0</v>
      </c>
    </row>
    <row r="424" spans="1:18" x14ac:dyDescent="0.2">
      <c r="A424" t="s">
        <v>14</v>
      </c>
      <c r="B424">
        <v>20231208</v>
      </c>
      <c r="C424">
        <v>100930.17</v>
      </c>
      <c r="D424">
        <v>100899.01</v>
      </c>
      <c r="E424">
        <v>1219</v>
      </c>
      <c r="F424">
        <v>1220</v>
      </c>
      <c r="G424" t="s">
        <v>435</v>
      </c>
      <c r="H424">
        <v>-31.1600000000034</v>
      </c>
      <c r="I424">
        <v>1</v>
      </c>
      <c r="J424" t="s">
        <v>15</v>
      </c>
      <c r="K424">
        <v>240.68</v>
      </c>
      <c r="L424">
        <v>241.07</v>
      </c>
      <c r="M424">
        <v>241.4</v>
      </c>
      <c r="N424">
        <v>241.45</v>
      </c>
      <c r="O424" s="1">
        <f t="shared" si="24"/>
        <v>1.6204088416154061E-3</v>
      </c>
      <c r="P424" s="1">
        <f t="shared" si="25"/>
        <v>1.3688970008711721E-3</v>
      </c>
      <c r="Q424" t="str">
        <f t="shared" si="26"/>
        <v>SELL</v>
      </c>
      <c r="R424">
        <f t="shared" si="27"/>
        <v>-31.1600000000034</v>
      </c>
    </row>
    <row r="425" spans="1:18" x14ac:dyDescent="0.2">
      <c r="A425" t="s">
        <v>14</v>
      </c>
      <c r="B425">
        <v>20231208</v>
      </c>
      <c r="C425">
        <v>100899.01</v>
      </c>
      <c r="D425">
        <v>100876.87</v>
      </c>
      <c r="E425">
        <v>1224</v>
      </c>
      <c r="F425">
        <v>1225</v>
      </c>
      <c r="G425" t="s">
        <v>436</v>
      </c>
      <c r="H425">
        <v>-22.1399999999994</v>
      </c>
      <c r="I425">
        <v>1</v>
      </c>
      <c r="J425" t="s">
        <v>15</v>
      </c>
      <c r="K425">
        <v>240.79</v>
      </c>
      <c r="L425">
        <v>241.28</v>
      </c>
      <c r="M425">
        <v>241.6</v>
      </c>
      <c r="N425">
        <v>241.55</v>
      </c>
      <c r="O425" s="1">
        <f t="shared" si="24"/>
        <v>2.0349682295777161E-3</v>
      </c>
      <c r="P425" s="1">
        <f t="shared" si="25"/>
        <v>1.3262599469496816E-3</v>
      </c>
      <c r="Q425" t="str">
        <f t="shared" si="26"/>
        <v>SELL</v>
      </c>
      <c r="R425">
        <f t="shared" si="27"/>
        <v>-22.1399999999994</v>
      </c>
    </row>
    <row r="426" spans="1:18" x14ac:dyDescent="0.2">
      <c r="A426" t="s">
        <v>14</v>
      </c>
      <c r="B426">
        <v>20231208</v>
      </c>
      <c r="C426">
        <v>100876.87</v>
      </c>
      <c r="D426">
        <v>100876.05</v>
      </c>
      <c r="E426">
        <v>1229</v>
      </c>
      <c r="F426">
        <v>1241</v>
      </c>
      <c r="G426" t="s">
        <v>437</v>
      </c>
      <c r="H426">
        <v>-0.819999999992433</v>
      </c>
      <c r="I426">
        <v>12</v>
      </c>
      <c r="J426" t="s">
        <v>15</v>
      </c>
      <c r="K426">
        <v>241.31</v>
      </c>
      <c r="L426">
        <v>241.34</v>
      </c>
      <c r="M426">
        <v>241.56</v>
      </c>
      <c r="N426">
        <v>241.35</v>
      </c>
      <c r="O426" s="1">
        <f t="shared" si="24"/>
        <v>1.243214122912395E-4</v>
      </c>
      <c r="P426" s="1">
        <f t="shared" si="25"/>
        <v>9.1157702825883646E-4</v>
      </c>
      <c r="Q426" t="str">
        <f t="shared" si="26"/>
        <v>SELL</v>
      </c>
      <c r="R426">
        <f t="shared" si="27"/>
        <v>-0.819999999992433</v>
      </c>
    </row>
    <row r="427" spans="1:18" x14ac:dyDescent="0.2">
      <c r="A427" t="s">
        <v>14</v>
      </c>
      <c r="B427">
        <v>20231208</v>
      </c>
      <c r="C427">
        <v>100876.05</v>
      </c>
      <c r="D427">
        <v>100862.11</v>
      </c>
      <c r="E427">
        <v>1245</v>
      </c>
      <c r="F427">
        <v>1259</v>
      </c>
      <c r="G427" t="s">
        <v>438</v>
      </c>
      <c r="H427">
        <v>-13.9400000000023</v>
      </c>
      <c r="I427">
        <v>14</v>
      </c>
      <c r="J427" t="s">
        <v>15</v>
      </c>
      <c r="K427">
        <v>240.91</v>
      </c>
      <c r="L427">
        <v>241.42</v>
      </c>
      <c r="M427">
        <v>241.61</v>
      </c>
      <c r="N427">
        <v>241.59</v>
      </c>
      <c r="O427" s="1">
        <f t="shared" si="24"/>
        <v>2.1169731434975692E-3</v>
      </c>
      <c r="P427" s="1">
        <f t="shared" si="25"/>
        <v>7.8701018971094605E-4</v>
      </c>
      <c r="Q427" t="str">
        <f t="shared" si="26"/>
        <v>SELL</v>
      </c>
      <c r="R427">
        <f t="shared" si="27"/>
        <v>-13.9400000000023</v>
      </c>
    </row>
    <row r="428" spans="1:18" x14ac:dyDescent="0.2">
      <c r="A428" t="s">
        <v>14</v>
      </c>
      <c r="B428">
        <v>20231208</v>
      </c>
      <c r="C428">
        <v>100862.11</v>
      </c>
      <c r="D428">
        <v>100843.48</v>
      </c>
      <c r="E428">
        <v>1447</v>
      </c>
      <c r="F428">
        <v>1450</v>
      </c>
      <c r="G428" t="s">
        <v>439</v>
      </c>
      <c r="H428">
        <v>-18.6300000000046</v>
      </c>
      <c r="I428">
        <v>3</v>
      </c>
      <c r="J428" t="s">
        <v>16</v>
      </c>
      <c r="K428">
        <v>243.87</v>
      </c>
      <c r="L428">
        <v>244.61</v>
      </c>
      <c r="M428">
        <v>244.66</v>
      </c>
      <c r="N428">
        <v>244.38</v>
      </c>
      <c r="O428" s="1">
        <f t="shared" si="24"/>
        <v>3.0344035756755261E-3</v>
      </c>
      <c r="P428" s="1">
        <f t="shared" si="25"/>
        <v>2.0440701524870875E-4</v>
      </c>
      <c r="Q428" t="str">
        <f t="shared" si="26"/>
        <v>IDLE</v>
      </c>
      <c r="R428">
        <f t="shared" si="27"/>
        <v>0</v>
      </c>
    </row>
    <row r="429" spans="1:18" x14ac:dyDescent="0.2">
      <c r="A429" t="s">
        <v>14</v>
      </c>
      <c r="B429">
        <v>20231211</v>
      </c>
      <c r="C429">
        <v>100843.48</v>
      </c>
      <c r="D429">
        <v>100813.14</v>
      </c>
      <c r="E429">
        <v>933</v>
      </c>
      <c r="F429">
        <v>938</v>
      </c>
      <c r="G429" t="s">
        <v>440</v>
      </c>
      <c r="H429">
        <v>-30.3399999999965</v>
      </c>
      <c r="I429">
        <v>5</v>
      </c>
      <c r="J429" t="s">
        <v>15</v>
      </c>
      <c r="K429">
        <v>241.61</v>
      </c>
      <c r="L429">
        <v>242.07</v>
      </c>
      <c r="M429">
        <v>244.51</v>
      </c>
      <c r="N429">
        <v>242.44</v>
      </c>
      <c r="O429" s="1">
        <f t="shared" si="24"/>
        <v>1.9038947063447775E-3</v>
      </c>
      <c r="P429" s="1">
        <f t="shared" si="25"/>
        <v>1.007972900400711E-2</v>
      </c>
      <c r="Q429" t="str">
        <f t="shared" si="26"/>
        <v>SELL</v>
      </c>
      <c r="R429">
        <f t="shared" si="27"/>
        <v>-30.3399999999965</v>
      </c>
    </row>
    <row r="430" spans="1:18" x14ac:dyDescent="0.2">
      <c r="A430" t="s">
        <v>14</v>
      </c>
      <c r="B430">
        <v>20231211</v>
      </c>
      <c r="C430">
        <v>100813.14</v>
      </c>
      <c r="D430">
        <v>100791.82</v>
      </c>
      <c r="E430">
        <v>942</v>
      </c>
      <c r="F430">
        <v>945</v>
      </c>
      <c r="G430" t="s">
        <v>441</v>
      </c>
      <c r="H430">
        <v>-21.319999999992401</v>
      </c>
      <c r="I430">
        <v>3</v>
      </c>
      <c r="J430" t="s">
        <v>15</v>
      </c>
      <c r="K430">
        <v>241.09</v>
      </c>
      <c r="L430">
        <v>241.76</v>
      </c>
      <c r="M430">
        <v>242.49</v>
      </c>
      <c r="N430">
        <v>242.02</v>
      </c>
      <c r="O430" s="1">
        <f t="shared" si="24"/>
        <v>2.7790451698535001E-3</v>
      </c>
      <c r="P430" s="1">
        <f t="shared" si="25"/>
        <v>3.0195234943746208E-3</v>
      </c>
      <c r="Q430" t="str">
        <f t="shared" si="26"/>
        <v>SELL</v>
      </c>
      <c r="R430">
        <f t="shared" si="27"/>
        <v>-21.319999999992401</v>
      </c>
    </row>
    <row r="431" spans="1:18" x14ac:dyDescent="0.2">
      <c r="A431" t="s">
        <v>14</v>
      </c>
      <c r="B431">
        <v>20231211</v>
      </c>
      <c r="C431">
        <v>100791.82</v>
      </c>
      <c r="D431">
        <v>100786.08</v>
      </c>
      <c r="E431">
        <v>949</v>
      </c>
      <c r="F431">
        <v>953</v>
      </c>
      <c r="G431" t="s">
        <v>442</v>
      </c>
      <c r="H431">
        <v>-5.7400000000052298</v>
      </c>
      <c r="I431">
        <v>4</v>
      </c>
      <c r="J431" t="s">
        <v>15</v>
      </c>
      <c r="K431">
        <v>241.4</v>
      </c>
      <c r="L431">
        <v>241.77</v>
      </c>
      <c r="M431">
        <v>242.24</v>
      </c>
      <c r="N431">
        <v>241.84</v>
      </c>
      <c r="O431" s="1">
        <f t="shared" si="24"/>
        <v>1.5327257663628746E-3</v>
      </c>
      <c r="P431" s="1">
        <f t="shared" si="25"/>
        <v>1.9439963601770582E-3</v>
      </c>
      <c r="Q431" t="str">
        <f t="shared" si="26"/>
        <v>SELL</v>
      </c>
      <c r="R431">
        <f t="shared" si="27"/>
        <v>-5.7400000000052298</v>
      </c>
    </row>
    <row r="432" spans="1:18" x14ac:dyDescent="0.2">
      <c r="A432" t="s">
        <v>14</v>
      </c>
      <c r="B432">
        <v>20231211</v>
      </c>
      <c r="C432">
        <v>100786.08</v>
      </c>
      <c r="D432">
        <v>100741.8</v>
      </c>
      <c r="E432">
        <v>957</v>
      </c>
      <c r="F432">
        <v>1000</v>
      </c>
      <c r="G432" t="s">
        <v>443</v>
      </c>
      <c r="H432">
        <v>-44.2799999999988</v>
      </c>
      <c r="I432">
        <v>3</v>
      </c>
      <c r="J432" t="s">
        <v>15</v>
      </c>
      <c r="K432">
        <v>241.18</v>
      </c>
      <c r="L432">
        <v>241.82</v>
      </c>
      <c r="M432">
        <v>242.12</v>
      </c>
      <c r="N432">
        <v>242.36</v>
      </c>
      <c r="O432" s="1">
        <f t="shared" si="24"/>
        <v>2.6536197031261644E-3</v>
      </c>
      <c r="P432" s="1">
        <f t="shared" si="25"/>
        <v>1.2405921759988114E-3</v>
      </c>
      <c r="Q432" t="str">
        <f t="shared" si="26"/>
        <v>SELL</v>
      </c>
      <c r="R432">
        <f t="shared" si="27"/>
        <v>-44.2799999999988</v>
      </c>
    </row>
    <row r="433" spans="1:18" x14ac:dyDescent="0.2">
      <c r="A433" t="s">
        <v>14</v>
      </c>
      <c r="B433">
        <v>20231211</v>
      </c>
      <c r="C433">
        <v>100741.8</v>
      </c>
      <c r="D433">
        <v>100748.36</v>
      </c>
      <c r="E433">
        <v>1004</v>
      </c>
      <c r="F433">
        <v>1015</v>
      </c>
      <c r="G433" t="s">
        <v>444</v>
      </c>
      <c r="H433">
        <v>6.5599999999976699</v>
      </c>
      <c r="I433">
        <v>11</v>
      </c>
      <c r="J433" t="s">
        <v>15</v>
      </c>
      <c r="K433">
        <v>241.43</v>
      </c>
      <c r="L433">
        <v>241.45</v>
      </c>
      <c r="M433">
        <v>242.24</v>
      </c>
      <c r="N433">
        <v>241.37</v>
      </c>
      <c r="O433" s="1">
        <f t="shared" si="24"/>
        <v>8.2839746510243728E-5</v>
      </c>
      <c r="P433" s="1">
        <f t="shared" si="25"/>
        <v>3.2718989438809132E-3</v>
      </c>
      <c r="Q433" t="str">
        <f t="shared" si="26"/>
        <v>IDLE</v>
      </c>
      <c r="R433">
        <f t="shared" si="27"/>
        <v>0</v>
      </c>
    </row>
    <row r="434" spans="1:18" x14ac:dyDescent="0.2">
      <c r="A434" t="s">
        <v>14</v>
      </c>
      <c r="B434">
        <v>20231211</v>
      </c>
      <c r="C434">
        <v>100748.36</v>
      </c>
      <c r="D434">
        <v>100718.48</v>
      </c>
      <c r="E434">
        <v>1019</v>
      </c>
      <c r="F434">
        <v>1020</v>
      </c>
      <c r="G434" t="s">
        <v>445</v>
      </c>
      <c r="H434">
        <v>-29.8800000000046</v>
      </c>
      <c r="I434">
        <v>1</v>
      </c>
      <c r="J434" t="s">
        <v>15</v>
      </c>
      <c r="K434">
        <v>240.43</v>
      </c>
      <c r="L434">
        <v>240.77</v>
      </c>
      <c r="M434">
        <v>241.31</v>
      </c>
      <c r="N434">
        <v>241.13</v>
      </c>
      <c r="O434" s="1">
        <f t="shared" si="24"/>
        <v>1.4141330116874684E-3</v>
      </c>
      <c r="P434" s="1">
        <f t="shared" si="25"/>
        <v>2.2428043360882555E-3</v>
      </c>
      <c r="Q434" t="str">
        <f t="shared" si="26"/>
        <v>SELL</v>
      </c>
      <c r="R434">
        <f t="shared" si="27"/>
        <v>-29.8800000000046</v>
      </c>
    </row>
    <row r="435" spans="1:18" x14ac:dyDescent="0.2">
      <c r="A435" t="s">
        <v>14</v>
      </c>
      <c r="B435">
        <v>20231211</v>
      </c>
      <c r="C435">
        <v>100718.48</v>
      </c>
      <c r="D435">
        <v>100731.76</v>
      </c>
      <c r="E435">
        <v>1024</v>
      </c>
      <c r="F435">
        <v>1032</v>
      </c>
      <c r="G435" t="s">
        <v>446</v>
      </c>
      <c r="H435">
        <v>13.2799999999988</v>
      </c>
      <c r="I435">
        <v>8</v>
      </c>
      <c r="J435" t="s">
        <v>15</v>
      </c>
      <c r="K435">
        <v>240.69</v>
      </c>
      <c r="L435">
        <v>240.56</v>
      </c>
      <c r="M435">
        <v>241.33</v>
      </c>
      <c r="N435">
        <v>240.4</v>
      </c>
      <c r="O435" s="1">
        <f t="shared" si="24"/>
        <v>-5.4011383937846436E-4</v>
      </c>
      <c r="P435" s="1">
        <f t="shared" si="25"/>
        <v>3.2008646491519244E-3</v>
      </c>
      <c r="Q435" t="str">
        <f t="shared" si="26"/>
        <v>IDLE</v>
      </c>
      <c r="R435">
        <f t="shared" si="27"/>
        <v>0</v>
      </c>
    </row>
    <row r="436" spans="1:18" x14ac:dyDescent="0.2">
      <c r="A436" t="s">
        <v>14</v>
      </c>
      <c r="B436">
        <v>20231211</v>
      </c>
      <c r="C436">
        <v>100731.76</v>
      </c>
      <c r="D436">
        <v>100721.8</v>
      </c>
      <c r="E436">
        <v>1036</v>
      </c>
      <c r="F436">
        <v>1042</v>
      </c>
      <c r="G436" t="s">
        <v>447</v>
      </c>
      <c r="H436">
        <v>-9.9599999999918492</v>
      </c>
      <c r="I436">
        <v>6</v>
      </c>
      <c r="J436" t="s">
        <v>15</v>
      </c>
      <c r="K436">
        <v>239.57</v>
      </c>
      <c r="L436">
        <v>240.77</v>
      </c>
      <c r="M436">
        <v>240.82</v>
      </c>
      <c r="N436">
        <v>240.89</v>
      </c>
      <c r="O436" s="1">
        <f t="shared" si="24"/>
        <v>5.0089744124890423E-3</v>
      </c>
      <c r="P436" s="1">
        <f t="shared" si="25"/>
        <v>2.076670681563364E-4</v>
      </c>
      <c r="Q436" t="str">
        <f t="shared" si="26"/>
        <v>SELL</v>
      </c>
      <c r="R436">
        <f t="shared" si="27"/>
        <v>-9.9599999999918492</v>
      </c>
    </row>
    <row r="437" spans="1:18" x14ac:dyDescent="0.2">
      <c r="A437" t="s">
        <v>14</v>
      </c>
      <c r="B437">
        <v>20231211</v>
      </c>
      <c r="C437">
        <v>100721.8</v>
      </c>
      <c r="D437">
        <v>100750.02</v>
      </c>
      <c r="E437">
        <v>1109</v>
      </c>
      <c r="F437">
        <v>1124</v>
      </c>
      <c r="G437" t="s">
        <v>448</v>
      </c>
      <c r="H437">
        <v>28.2200000000011</v>
      </c>
      <c r="I437">
        <v>15</v>
      </c>
      <c r="J437" t="s">
        <v>15</v>
      </c>
      <c r="K437">
        <v>240.47</v>
      </c>
      <c r="L437">
        <v>240.47</v>
      </c>
      <c r="M437">
        <v>242.08</v>
      </c>
      <c r="N437">
        <v>240.13</v>
      </c>
      <c r="O437" s="1">
        <f t="shared" si="24"/>
        <v>0</v>
      </c>
      <c r="P437" s="1">
        <f t="shared" si="25"/>
        <v>6.6952218571962874E-3</v>
      </c>
      <c r="Q437" t="str">
        <f t="shared" si="26"/>
        <v>IDLE</v>
      </c>
      <c r="R437">
        <f t="shared" si="27"/>
        <v>0</v>
      </c>
    </row>
    <row r="438" spans="1:18" x14ac:dyDescent="0.2">
      <c r="A438" t="s">
        <v>14</v>
      </c>
      <c r="B438">
        <v>20231211</v>
      </c>
      <c r="C438">
        <v>100750.02</v>
      </c>
      <c r="D438">
        <v>100857.92</v>
      </c>
      <c r="E438">
        <v>1128</v>
      </c>
      <c r="F438">
        <v>1203</v>
      </c>
      <c r="G438" t="s">
        <v>449</v>
      </c>
      <c r="H438">
        <v>107.89999999999399</v>
      </c>
      <c r="I438">
        <v>35</v>
      </c>
      <c r="J438" t="s">
        <v>15</v>
      </c>
      <c r="K438">
        <v>239.61</v>
      </c>
      <c r="L438">
        <v>239.78</v>
      </c>
      <c r="M438">
        <v>240.2</v>
      </c>
      <c r="N438">
        <v>238.48</v>
      </c>
      <c r="O438" s="1">
        <f t="shared" si="24"/>
        <v>7.0948624848710118E-4</v>
      </c>
      <c r="P438" s="1">
        <f t="shared" si="25"/>
        <v>1.7516056385018519E-3</v>
      </c>
      <c r="Q438" t="str">
        <f t="shared" si="26"/>
        <v>SELL</v>
      </c>
      <c r="R438">
        <f t="shared" si="27"/>
        <v>107.89999999999399</v>
      </c>
    </row>
    <row r="439" spans="1:18" x14ac:dyDescent="0.2">
      <c r="A439" t="s">
        <v>14</v>
      </c>
      <c r="B439">
        <v>20231211</v>
      </c>
      <c r="C439">
        <v>100857.92</v>
      </c>
      <c r="D439">
        <v>100839.66</v>
      </c>
      <c r="E439">
        <v>1329</v>
      </c>
      <c r="F439">
        <v>1355</v>
      </c>
      <c r="G439" t="s">
        <v>450</v>
      </c>
      <c r="H439">
        <v>-18.259999999994701</v>
      </c>
      <c r="I439">
        <v>26</v>
      </c>
      <c r="J439" t="s">
        <v>15</v>
      </c>
      <c r="K439">
        <v>238.76</v>
      </c>
      <c r="L439">
        <v>238.72</v>
      </c>
      <c r="M439">
        <v>239.66</v>
      </c>
      <c r="N439">
        <v>238.94</v>
      </c>
      <c r="O439" s="1">
        <f t="shared" si="24"/>
        <v>-1.6753224995813554E-4</v>
      </c>
      <c r="P439" s="1">
        <f t="shared" si="25"/>
        <v>3.937667560321767E-3</v>
      </c>
      <c r="Q439" t="str">
        <f t="shared" si="26"/>
        <v>IDLE</v>
      </c>
      <c r="R439">
        <f t="shared" si="27"/>
        <v>0</v>
      </c>
    </row>
    <row r="440" spans="1:18" x14ac:dyDescent="0.2">
      <c r="A440" t="s">
        <v>14</v>
      </c>
      <c r="B440">
        <v>20231211</v>
      </c>
      <c r="C440">
        <v>100839.66</v>
      </c>
      <c r="D440">
        <v>100811.44</v>
      </c>
      <c r="E440">
        <v>1448</v>
      </c>
      <c r="F440">
        <v>1457</v>
      </c>
      <c r="G440" t="s">
        <v>451</v>
      </c>
      <c r="H440">
        <v>-28.2200000000011</v>
      </c>
      <c r="I440">
        <v>9</v>
      </c>
      <c r="J440" t="s">
        <v>15</v>
      </c>
      <c r="K440">
        <v>239.16</v>
      </c>
      <c r="L440">
        <v>239.27</v>
      </c>
      <c r="M440">
        <v>239.98</v>
      </c>
      <c r="N440">
        <v>239.61</v>
      </c>
      <c r="O440" s="1">
        <f t="shared" si="24"/>
        <v>4.5994313430353095E-4</v>
      </c>
      <c r="P440" s="1">
        <f t="shared" si="25"/>
        <v>2.9673590504450953E-3</v>
      </c>
      <c r="Q440" t="str">
        <f t="shared" si="26"/>
        <v>SELL</v>
      </c>
      <c r="R440">
        <f t="shared" si="27"/>
        <v>-28.2200000000011</v>
      </c>
    </row>
    <row r="441" spans="1:18" x14ac:dyDescent="0.2">
      <c r="A441" t="s">
        <v>14</v>
      </c>
      <c r="B441">
        <v>20231212</v>
      </c>
      <c r="C441">
        <v>100811.44</v>
      </c>
      <c r="D441">
        <v>100859.32</v>
      </c>
      <c r="E441">
        <v>933</v>
      </c>
      <c r="F441">
        <v>940</v>
      </c>
      <c r="G441" t="s">
        <v>452</v>
      </c>
      <c r="H441">
        <v>47.8800000000046</v>
      </c>
      <c r="I441">
        <v>7</v>
      </c>
      <c r="J441" t="s">
        <v>15</v>
      </c>
      <c r="K441">
        <v>235.66</v>
      </c>
      <c r="L441">
        <v>235.66</v>
      </c>
      <c r="M441">
        <v>240.98</v>
      </c>
      <c r="N441">
        <v>235.09</v>
      </c>
      <c r="O441" s="1">
        <f t="shared" si="24"/>
        <v>0</v>
      </c>
      <c r="P441" s="1">
        <f t="shared" si="25"/>
        <v>2.2574896036662961E-2</v>
      </c>
      <c r="Q441" t="str">
        <f t="shared" si="26"/>
        <v>IDLE</v>
      </c>
      <c r="R441">
        <f t="shared" si="27"/>
        <v>0</v>
      </c>
    </row>
    <row r="442" spans="1:18" x14ac:dyDescent="0.2">
      <c r="A442" t="s">
        <v>14</v>
      </c>
      <c r="B442">
        <v>20231212</v>
      </c>
      <c r="C442">
        <v>100859.32</v>
      </c>
      <c r="D442">
        <v>100793.87</v>
      </c>
      <c r="E442">
        <v>944</v>
      </c>
      <c r="F442">
        <v>948</v>
      </c>
      <c r="G442" t="s">
        <v>453</v>
      </c>
      <c r="H442">
        <v>-65.450000000011599</v>
      </c>
      <c r="I442">
        <v>4</v>
      </c>
      <c r="J442" t="s">
        <v>15</v>
      </c>
      <c r="K442">
        <v>234.09</v>
      </c>
      <c r="L442">
        <v>234.37</v>
      </c>
      <c r="M442">
        <v>234.98</v>
      </c>
      <c r="N442">
        <v>235.14</v>
      </c>
      <c r="O442" s="1">
        <f t="shared" si="24"/>
        <v>1.1961211499851299E-3</v>
      </c>
      <c r="P442" s="1">
        <f t="shared" si="25"/>
        <v>2.60272219140667E-3</v>
      </c>
      <c r="Q442" t="str">
        <f t="shared" si="26"/>
        <v>SELL</v>
      </c>
      <c r="R442">
        <f t="shared" si="27"/>
        <v>-65.450000000011599</v>
      </c>
    </row>
    <row r="443" spans="1:18" x14ac:dyDescent="0.2">
      <c r="A443" t="s">
        <v>14</v>
      </c>
      <c r="B443">
        <v>20231212</v>
      </c>
      <c r="C443">
        <v>100793.87</v>
      </c>
      <c r="D443">
        <v>100723.31</v>
      </c>
      <c r="E443">
        <v>952</v>
      </c>
      <c r="F443">
        <v>955</v>
      </c>
      <c r="G443" t="s">
        <v>454</v>
      </c>
      <c r="H443">
        <v>-70.559999999997601</v>
      </c>
      <c r="I443">
        <v>3</v>
      </c>
      <c r="J443" t="s">
        <v>15</v>
      </c>
      <c r="K443">
        <v>234.33</v>
      </c>
      <c r="L443">
        <v>235.34</v>
      </c>
      <c r="M443">
        <v>235.51</v>
      </c>
      <c r="N443">
        <v>236.18</v>
      </c>
      <c r="O443" s="1">
        <f t="shared" si="24"/>
        <v>4.310160884223091E-3</v>
      </c>
      <c r="P443" s="1">
        <f t="shared" si="25"/>
        <v>7.2235913996765433E-4</v>
      </c>
      <c r="Q443" t="str">
        <f t="shared" si="26"/>
        <v>SELL</v>
      </c>
      <c r="R443">
        <f t="shared" si="27"/>
        <v>-70.559999999997601</v>
      </c>
    </row>
    <row r="444" spans="1:18" x14ac:dyDescent="0.2">
      <c r="A444" t="s">
        <v>14</v>
      </c>
      <c r="B444">
        <v>20231212</v>
      </c>
      <c r="C444">
        <v>100723.31</v>
      </c>
      <c r="D444">
        <v>100702.06</v>
      </c>
      <c r="E444">
        <v>1047</v>
      </c>
      <c r="F444">
        <v>1100</v>
      </c>
      <c r="G444" t="s">
        <v>455</v>
      </c>
      <c r="H444">
        <v>-21.25</v>
      </c>
      <c r="I444">
        <v>13</v>
      </c>
      <c r="J444" t="s">
        <v>15</v>
      </c>
      <c r="K444">
        <v>235.22</v>
      </c>
      <c r="L444">
        <v>235.26</v>
      </c>
      <c r="M444">
        <v>236.2</v>
      </c>
      <c r="N444">
        <v>235.51</v>
      </c>
      <c r="O444" s="1">
        <f t="shared" si="24"/>
        <v>1.7005356687360695E-4</v>
      </c>
      <c r="P444" s="1">
        <f t="shared" si="25"/>
        <v>3.9955793590069622E-3</v>
      </c>
      <c r="Q444" t="str">
        <f t="shared" si="26"/>
        <v>SELL</v>
      </c>
      <c r="R444">
        <f t="shared" si="27"/>
        <v>-21.25</v>
      </c>
    </row>
    <row r="445" spans="1:18" x14ac:dyDescent="0.2">
      <c r="A445" t="s">
        <v>14</v>
      </c>
      <c r="B445">
        <v>20231212</v>
      </c>
      <c r="C445">
        <v>100702.06</v>
      </c>
      <c r="D445">
        <v>100729.78</v>
      </c>
      <c r="E445">
        <v>1104</v>
      </c>
      <c r="F445">
        <v>1116</v>
      </c>
      <c r="G445" t="s">
        <v>456</v>
      </c>
      <c r="H445">
        <v>27.7200000000011</v>
      </c>
      <c r="I445">
        <v>12</v>
      </c>
      <c r="J445" t="s">
        <v>15</v>
      </c>
      <c r="K445">
        <v>235.11</v>
      </c>
      <c r="L445">
        <v>235.38</v>
      </c>
      <c r="M445">
        <v>235.48</v>
      </c>
      <c r="N445">
        <v>235.05</v>
      </c>
      <c r="O445" s="1">
        <f t="shared" si="24"/>
        <v>1.1483986219216202E-3</v>
      </c>
      <c r="P445" s="1">
        <f t="shared" si="25"/>
        <v>4.2484493159999914E-4</v>
      </c>
      <c r="Q445" t="str">
        <f t="shared" si="26"/>
        <v>SELL</v>
      </c>
      <c r="R445">
        <f t="shared" si="27"/>
        <v>27.7200000000011</v>
      </c>
    </row>
    <row r="446" spans="1:18" x14ac:dyDescent="0.2">
      <c r="A446" t="s">
        <v>14</v>
      </c>
      <c r="B446">
        <v>20231212</v>
      </c>
      <c r="C446">
        <v>100729.78</v>
      </c>
      <c r="D446">
        <v>100707.68</v>
      </c>
      <c r="E446">
        <v>1134</v>
      </c>
      <c r="F446">
        <v>1142</v>
      </c>
      <c r="G446" t="s">
        <v>457</v>
      </c>
      <c r="H446">
        <v>-22.100000000005799</v>
      </c>
      <c r="I446">
        <v>8</v>
      </c>
      <c r="J446" t="s">
        <v>15</v>
      </c>
      <c r="K446">
        <v>235.2</v>
      </c>
      <c r="L446">
        <v>235.15</v>
      </c>
      <c r="M446">
        <v>235.92</v>
      </c>
      <c r="N446">
        <v>235.41</v>
      </c>
      <c r="O446" s="1">
        <f t="shared" si="24"/>
        <v>-2.1258503401355711E-4</v>
      </c>
      <c r="P446" s="1">
        <f t="shared" si="25"/>
        <v>3.2745056347012191E-3</v>
      </c>
      <c r="Q446" t="str">
        <f t="shared" si="26"/>
        <v>IDLE</v>
      </c>
      <c r="R446">
        <f t="shared" si="27"/>
        <v>0</v>
      </c>
    </row>
    <row r="447" spans="1:18" x14ac:dyDescent="0.2">
      <c r="A447" t="s">
        <v>14</v>
      </c>
      <c r="B447">
        <v>20231212</v>
      </c>
      <c r="C447">
        <v>100707.68</v>
      </c>
      <c r="D447">
        <v>100779.08</v>
      </c>
      <c r="E447">
        <v>1146</v>
      </c>
      <c r="F447">
        <v>1224</v>
      </c>
      <c r="G447" t="s">
        <v>458</v>
      </c>
      <c r="H447">
        <v>71.400000000008703</v>
      </c>
      <c r="I447">
        <v>38</v>
      </c>
      <c r="J447" t="s">
        <v>15</v>
      </c>
      <c r="K447">
        <v>235.08</v>
      </c>
      <c r="L447">
        <v>235.48</v>
      </c>
      <c r="M447">
        <v>235.56</v>
      </c>
      <c r="N447">
        <v>234.63</v>
      </c>
      <c r="O447" s="1">
        <f t="shared" si="24"/>
        <v>1.7015484090521227E-3</v>
      </c>
      <c r="P447" s="1">
        <f t="shared" si="25"/>
        <v>3.3973161202660584E-4</v>
      </c>
      <c r="Q447" t="str">
        <f t="shared" si="26"/>
        <v>SELL</v>
      </c>
      <c r="R447">
        <f t="shared" si="27"/>
        <v>71.400000000008703</v>
      </c>
    </row>
    <row r="448" spans="1:18" x14ac:dyDescent="0.2">
      <c r="A448" t="s">
        <v>14</v>
      </c>
      <c r="B448">
        <v>20231212</v>
      </c>
      <c r="C448">
        <v>100779.08</v>
      </c>
      <c r="D448">
        <v>100763.78</v>
      </c>
      <c r="E448">
        <v>1228</v>
      </c>
      <c r="F448">
        <v>1242</v>
      </c>
      <c r="G448" t="s">
        <v>459</v>
      </c>
      <c r="H448">
        <v>-15.3000000000029</v>
      </c>
      <c r="I448">
        <v>14</v>
      </c>
      <c r="J448" t="s">
        <v>15</v>
      </c>
      <c r="K448">
        <v>234</v>
      </c>
      <c r="L448">
        <v>234.56</v>
      </c>
      <c r="M448">
        <v>234.64</v>
      </c>
      <c r="N448">
        <v>234.74</v>
      </c>
      <c r="O448" s="1">
        <f t="shared" si="24"/>
        <v>2.3931623931623403E-3</v>
      </c>
      <c r="P448" s="1">
        <f t="shared" si="25"/>
        <v>3.4106412005452391E-4</v>
      </c>
      <c r="Q448" t="str">
        <f t="shared" si="26"/>
        <v>SELL</v>
      </c>
      <c r="R448">
        <f t="shared" si="27"/>
        <v>-15.3000000000029</v>
      </c>
    </row>
    <row r="449" spans="1:18" x14ac:dyDescent="0.2">
      <c r="A449" t="s">
        <v>14</v>
      </c>
      <c r="B449">
        <v>20231212</v>
      </c>
      <c r="C449">
        <v>100763.78</v>
      </c>
      <c r="D449">
        <v>100734.03</v>
      </c>
      <c r="E449">
        <v>1246</v>
      </c>
      <c r="F449">
        <v>1250</v>
      </c>
      <c r="G449" t="s">
        <v>460</v>
      </c>
      <c r="H449">
        <v>-29.75</v>
      </c>
      <c r="I449">
        <v>4</v>
      </c>
      <c r="J449" t="s">
        <v>15</v>
      </c>
      <c r="K449">
        <v>234.45</v>
      </c>
      <c r="L449">
        <v>234.45</v>
      </c>
      <c r="M449">
        <v>234.74</v>
      </c>
      <c r="N449">
        <v>234.8</v>
      </c>
      <c r="O449" s="1">
        <f t="shared" si="24"/>
        <v>0</v>
      </c>
      <c r="P449" s="1">
        <f t="shared" si="25"/>
        <v>1.236937513329206E-3</v>
      </c>
      <c r="Q449" t="str">
        <f t="shared" si="26"/>
        <v>IDLE</v>
      </c>
      <c r="R449">
        <f t="shared" si="27"/>
        <v>0</v>
      </c>
    </row>
    <row r="450" spans="1:18" x14ac:dyDescent="0.2">
      <c r="A450" t="s">
        <v>14</v>
      </c>
      <c r="B450">
        <v>20231212</v>
      </c>
      <c r="C450">
        <v>100734.03</v>
      </c>
      <c r="D450">
        <v>100732.35</v>
      </c>
      <c r="E450">
        <v>1517</v>
      </c>
      <c r="F450">
        <v>1520</v>
      </c>
      <c r="G450" t="s">
        <v>461</v>
      </c>
      <c r="H450">
        <v>-1.67999999999301</v>
      </c>
      <c r="I450">
        <v>3</v>
      </c>
      <c r="J450" t="s">
        <v>16</v>
      </c>
      <c r="K450">
        <v>237.18</v>
      </c>
      <c r="L450">
        <v>237.24</v>
      </c>
      <c r="M450">
        <v>237.37</v>
      </c>
      <c r="N450">
        <v>237.22</v>
      </c>
      <c r="O450" s="1">
        <f t="shared" si="24"/>
        <v>2.5297242600563763E-4</v>
      </c>
      <c r="P450" s="1">
        <f t="shared" si="25"/>
        <v>5.4796830214121073E-4</v>
      </c>
      <c r="Q450" t="str">
        <f t="shared" si="26"/>
        <v>IDLE</v>
      </c>
      <c r="R450">
        <f t="shared" si="27"/>
        <v>0</v>
      </c>
    </row>
    <row r="451" spans="1:18" x14ac:dyDescent="0.2">
      <c r="A451" t="s">
        <v>14</v>
      </c>
      <c r="B451">
        <v>20231212</v>
      </c>
      <c r="C451">
        <v>100732.35</v>
      </c>
      <c r="D451">
        <v>100714.71</v>
      </c>
      <c r="E451">
        <v>1524</v>
      </c>
      <c r="F451">
        <v>1531</v>
      </c>
      <c r="G451" t="s">
        <v>462</v>
      </c>
      <c r="H451">
        <v>-17.6399999999994</v>
      </c>
      <c r="I451">
        <v>7</v>
      </c>
      <c r="J451" t="s">
        <v>16</v>
      </c>
      <c r="K451">
        <v>236.99</v>
      </c>
      <c r="L451">
        <v>237.01</v>
      </c>
      <c r="M451">
        <v>237.41</v>
      </c>
      <c r="N451">
        <v>236.8</v>
      </c>
      <c r="O451" s="1">
        <f t="shared" si="24"/>
        <v>8.4391746487222363E-5</v>
      </c>
      <c r="P451" s="1">
        <f t="shared" si="25"/>
        <v>1.6876925024260636E-3</v>
      </c>
      <c r="Q451" t="str">
        <f t="shared" si="26"/>
        <v>IDLE</v>
      </c>
      <c r="R451">
        <f t="shared" si="27"/>
        <v>0</v>
      </c>
    </row>
    <row r="452" spans="1:18" x14ac:dyDescent="0.2">
      <c r="A452" t="s">
        <v>14</v>
      </c>
      <c r="B452">
        <v>20231213</v>
      </c>
      <c r="C452">
        <v>100714.71</v>
      </c>
      <c r="D452">
        <v>100854.11</v>
      </c>
      <c r="E452">
        <v>950</v>
      </c>
      <c r="F452">
        <v>1005</v>
      </c>
      <c r="G452" t="s">
        <v>463</v>
      </c>
      <c r="H452">
        <v>139.39999999999401</v>
      </c>
      <c r="I452">
        <v>15</v>
      </c>
      <c r="J452" t="s">
        <v>15</v>
      </c>
      <c r="K452">
        <v>234.63</v>
      </c>
      <c r="L452">
        <v>234.62</v>
      </c>
      <c r="M452">
        <v>235.58</v>
      </c>
      <c r="N452">
        <v>232.98</v>
      </c>
      <c r="O452" s="1">
        <f t="shared" ref="O452:O515" si="28">(L452/K452)-1</f>
        <v>-4.2620295784834283E-5</v>
      </c>
      <c r="P452" s="1">
        <f t="shared" ref="P452:P515" si="29">(M452/L452)-1</f>
        <v>4.0917227857812932E-3</v>
      </c>
      <c r="Q452" t="str">
        <f t="shared" ref="Q452:Q515" si="30">IF(J452="SELL",IF(O452&gt;=$O$1,"SELL","IDLE"),IF(P452&gt;=$P$1,"BUY","IDLE"))</f>
        <v>IDLE</v>
      </c>
      <c r="R452">
        <f t="shared" ref="R452:R515" si="31">IF(Q452&lt;&gt;"IDLE",H452,0)</f>
        <v>0</v>
      </c>
    </row>
    <row r="453" spans="1:18" x14ac:dyDescent="0.2">
      <c r="A453" t="s">
        <v>14</v>
      </c>
      <c r="B453">
        <v>20231213</v>
      </c>
      <c r="C453">
        <v>100854.11</v>
      </c>
      <c r="D453">
        <v>100813.31</v>
      </c>
      <c r="E453">
        <v>1009</v>
      </c>
      <c r="F453">
        <v>1016</v>
      </c>
      <c r="G453" t="s">
        <v>464</v>
      </c>
      <c r="H453">
        <v>-40.800000000002903</v>
      </c>
      <c r="I453">
        <v>7</v>
      </c>
      <c r="J453" t="s">
        <v>15</v>
      </c>
      <c r="K453">
        <v>232.49</v>
      </c>
      <c r="L453">
        <v>233.09</v>
      </c>
      <c r="M453">
        <v>233.26</v>
      </c>
      <c r="N453">
        <v>233.57</v>
      </c>
      <c r="O453" s="1">
        <f t="shared" si="28"/>
        <v>2.5807561615553976E-3</v>
      </c>
      <c r="P453" s="1">
        <f t="shared" si="29"/>
        <v>7.2933201767555467E-4</v>
      </c>
      <c r="Q453" t="str">
        <f t="shared" si="30"/>
        <v>SELL</v>
      </c>
      <c r="R453">
        <f t="shared" si="31"/>
        <v>-40.800000000002903</v>
      </c>
    </row>
    <row r="454" spans="1:18" x14ac:dyDescent="0.2">
      <c r="A454" t="s">
        <v>14</v>
      </c>
      <c r="B454">
        <v>20231213</v>
      </c>
      <c r="C454">
        <v>100813.31</v>
      </c>
      <c r="D454">
        <v>100786.96</v>
      </c>
      <c r="E454">
        <v>1020</v>
      </c>
      <c r="F454">
        <v>1026</v>
      </c>
      <c r="G454" t="s">
        <v>465</v>
      </c>
      <c r="H454">
        <v>-26.349999999991201</v>
      </c>
      <c r="I454">
        <v>6</v>
      </c>
      <c r="J454" t="s">
        <v>15</v>
      </c>
      <c r="K454">
        <v>232.94</v>
      </c>
      <c r="L454">
        <v>233.78</v>
      </c>
      <c r="M454">
        <v>233.92</v>
      </c>
      <c r="N454">
        <v>234.09</v>
      </c>
      <c r="O454" s="1">
        <f t="shared" si="28"/>
        <v>3.6060788185798831E-3</v>
      </c>
      <c r="P454" s="1">
        <f t="shared" si="29"/>
        <v>5.9885362306433265E-4</v>
      </c>
      <c r="Q454" t="str">
        <f t="shared" si="30"/>
        <v>SELL</v>
      </c>
      <c r="R454">
        <f t="shared" si="31"/>
        <v>-26.349999999991201</v>
      </c>
    </row>
    <row r="455" spans="1:18" x14ac:dyDescent="0.2">
      <c r="A455" t="s">
        <v>14</v>
      </c>
      <c r="B455">
        <v>20231213</v>
      </c>
      <c r="C455">
        <v>100786.96</v>
      </c>
      <c r="D455">
        <v>100998.61</v>
      </c>
      <c r="E455">
        <v>1054</v>
      </c>
      <c r="F455">
        <v>1117</v>
      </c>
      <c r="G455" t="s">
        <v>466</v>
      </c>
      <c r="H455">
        <v>211.64999999999401</v>
      </c>
      <c r="I455">
        <v>23</v>
      </c>
      <c r="J455" t="s">
        <v>15</v>
      </c>
      <c r="K455">
        <v>233.02</v>
      </c>
      <c r="L455">
        <v>232.9</v>
      </c>
      <c r="M455">
        <v>234.37</v>
      </c>
      <c r="N455">
        <v>230.41</v>
      </c>
      <c r="O455" s="1">
        <f t="shared" si="28"/>
        <v>-5.1497725517124504E-4</v>
      </c>
      <c r="P455" s="1">
        <f t="shared" si="29"/>
        <v>6.3117217689996341E-3</v>
      </c>
      <c r="Q455" t="str">
        <f t="shared" si="30"/>
        <v>IDLE</v>
      </c>
      <c r="R455">
        <f t="shared" si="31"/>
        <v>0</v>
      </c>
    </row>
    <row r="456" spans="1:18" x14ac:dyDescent="0.2">
      <c r="A456" t="s">
        <v>14</v>
      </c>
      <c r="B456">
        <v>20231213</v>
      </c>
      <c r="C456">
        <v>100998.61</v>
      </c>
      <c r="D456">
        <v>101029.06</v>
      </c>
      <c r="E456">
        <v>1121</v>
      </c>
      <c r="F456">
        <v>1127</v>
      </c>
      <c r="G456" t="s">
        <v>467</v>
      </c>
      <c r="H456">
        <v>30.449999999997001</v>
      </c>
      <c r="I456">
        <v>6</v>
      </c>
      <c r="J456" t="s">
        <v>15</v>
      </c>
      <c r="K456">
        <v>229.44</v>
      </c>
      <c r="L456">
        <v>229.52</v>
      </c>
      <c r="M456">
        <v>230.53</v>
      </c>
      <c r="N456">
        <v>229.17</v>
      </c>
      <c r="O456" s="1">
        <f t="shared" si="28"/>
        <v>3.4867503486757379E-4</v>
      </c>
      <c r="P456" s="1">
        <f t="shared" si="29"/>
        <v>4.4004879749039993E-3</v>
      </c>
      <c r="Q456" t="str">
        <f t="shared" si="30"/>
        <v>SELL</v>
      </c>
      <c r="R456">
        <f t="shared" si="31"/>
        <v>30.449999999997001</v>
      </c>
    </row>
    <row r="457" spans="1:18" x14ac:dyDescent="0.2">
      <c r="A457" t="s">
        <v>14</v>
      </c>
      <c r="B457">
        <v>20231213</v>
      </c>
      <c r="C457">
        <v>101029.06</v>
      </c>
      <c r="D457">
        <v>101036.71</v>
      </c>
      <c r="E457">
        <v>1417</v>
      </c>
      <c r="F457">
        <v>1424</v>
      </c>
      <c r="G457" t="s">
        <v>468</v>
      </c>
      <c r="H457">
        <v>7.6500000000087303</v>
      </c>
      <c r="I457">
        <v>7</v>
      </c>
      <c r="J457" t="s">
        <v>16</v>
      </c>
      <c r="K457">
        <v>233.27</v>
      </c>
      <c r="L457">
        <v>233.63</v>
      </c>
      <c r="M457">
        <v>233.99</v>
      </c>
      <c r="N457">
        <v>233.72</v>
      </c>
      <c r="O457" s="1">
        <f t="shared" si="28"/>
        <v>1.5432760320657213E-3</v>
      </c>
      <c r="P457" s="1">
        <f t="shared" si="29"/>
        <v>1.5408980011129003E-3</v>
      </c>
      <c r="Q457" t="str">
        <f t="shared" si="30"/>
        <v>IDLE</v>
      </c>
      <c r="R457">
        <f t="shared" si="31"/>
        <v>0</v>
      </c>
    </row>
    <row r="458" spans="1:18" x14ac:dyDescent="0.2">
      <c r="A458" t="s">
        <v>14</v>
      </c>
      <c r="B458">
        <v>20231213</v>
      </c>
      <c r="C458">
        <v>101036.71</v>
      </c>
      <c r="D458">
        <v>100929.61</v>
      </c>
      <c r="E458">
        <v>1428</v>
      </c>
      <c r="F458">
        <v>1431</v>
      </c>
      <c r="G458" t="s">
        <v>469</v>
      </c>
      <c r="H458">
        <v>-107.100000000005</v>
      </c>
      <c r="I458">
        <v>3</v>
      </c>
      <c r="J458" t="s">
        <v>16</v>
      </c>
      <c r="K458">
        <v>233.68</v>
      </c>
      <c r="L458">
        <v>234.07</v>
      </c>
      <c r="M458">
        <v>234.47</v>
      </c>
      <c r="N458">
        <v>232.81</v>
      </c>
      <c r="O458" s="1">
        <f t="shared" si="28"/>
        <v>1.6689489900718613E-3</v>
      </c>
      <c r="P458" s="1">
        <f t="shared" si="29"/>
        <v>1.708890502841065E-3</v>
      </c>
      <c r="Q458" t="str">
        <f t="shared" si="30"/>
        <v>IDLE</v>
      </c>
      <c r="R458">
        <f t="shared" si="31"/>
        <v>0</v>
      </c>
    </row>
    <row r="459" spans="1:18" x14ac:dyDescent="0.2">
      <c r="A459" t="s">
        <v>14</v>
      </c>
      <c r="B459">
        <v>20231213</v>
      </c>
      <c r="C459">
        <v>100929.61</v>
      </c>
      <c r="D459">
        <v>101144.66</v>
      </c>
      <c r="E459">
        <v>1438</v>
      </c>
      <c r="F459">
        <v>1459</v>
      </c>
      <c r="G459" t="s">
        <v>470</v>
      </c>
      <c r="H459">
        <v>215.050000000002</v>
      </c>
      <c r="I459">
        <v>21</v>
      </c>
      <c r="J459" t="s">
        <v>16</v>
      </c>
      <c r="K459">
        <v>233.05</v>
      </c>
      <c r="L459">
        <v>234.68</v>
      </c>
      <c r="M459">
        <v>234.94</v>
      </c>
      <c r="N459">
        <v>237.21</v>
      </c>
      <c r="O459" s="1">
        <f t="shared" si="28"/>
        <v>6.9942072516626652E-3</v>
      </c>
      <c r="P459" s="1">
        <f t="shared" si="29"/>
        <v>1.1078915970683667E-3</v>
      </c>
      <c r="Q459" t="str">
        <f t="shared" si="30"/>
        <v>IDLE</v>
      </c>
      <c r="R459">
        <f t="shared" si="31"/>
        <v>0</v>
      </c>
    </row>
    <row r="460" spans="1:18" x14ac:dyDescent="0.2">
      <c r="A460" t="s">
        <v>14</v>
      </c>
      <c r="B460">
        <v>20231213</v>
      </c>
      <c r="C460">
        <v>101144.66</v>
      </c>
      <c r="D460">
        <v>101123.91</v>
      </c>
      <c r="E460">
        <v>1503</v>
      </c>
      <c r="F460">
        <v>1506</v>
      </c>
      <c r="G460" t="s">
        <v>471</v>
      </c>
      <c r="H460">
        <v>-20.75</v>
      </c>
      <c r="I460">
        <v>3</v>
      </c>
      <c r="J460" t="s">
        <v>16</v>
      </c>
      <c r="K460">
        <v>237.12</v>
      </c>
      <c r="L460">
        <v>239.57</v>
      </c>
      <c r="M460">
        <v>239.15</v>
      </c>
      <c r="N460">
        <v>239.32</v>
      </c>
      <c r="O460" s="1">
        <f t="shared" si="28"/>
        <v>1.0332321187584315E-2</v>
      </c>
      <c r="P460" s="1">
        <f t="shared" si="29"/>
        <v>-1.753141044371076E-3</v>
      </c>
      <c r="Q460" t="str">
        <f t="shared" si="30"/>
        <v>IDLE</v>
      </c>
      <c r="R460">
        <f t="shared" si="31"/>
        <v>0</v>
      </c>
    </row>
    <row r="461" spans="1:18" x14ac:dyDescent="0.2">
      <c r="A461" t="s">
        <v>14</v>
      </c>
      <c r="B461">
        <v>20231213</v>
      </c>
      <c r="C461">
        <v>101123.91</v>
      </c>
      <c r="D461">
        <v>101108.97</v>
      </c>
      <c r="E461">
        <v>1510</v>
      </c>
      <c r="F461">
        <v>1515</v>
      </c>
      <c r="G461" t="s">
        <v>472</v>
      </c>
      <c r="H461">
        <v>-14.9400000000023</v>
      </c>
      <c r="I461">
        <v>5</v>
      </c>
      <c r="J461" t="s">
        <v>16</v>
      </c>
      <c r="K461">
        <v>238.51</v>
      </c>
      <c r="L461">
        <v>238.45</v>
      </c>
      <c r="M461">
        <v>240.06</v>
      </c>
      <c r="N461">
        <v>238.27</v>
      </c>
      <c r="O461" s="1">
        <f t="shared" si="28"/>
        <v>-2.5156177938034929E-4</v>
      </c>
      <c r="P461" s="1">
        <f t="shared" si="29"/>
        <v>6.7519396099811058E-3</v>
      </c>
      <c r="Q461" t="str">
        <f t="shared" si="30"/>
        <v>BUY</v>
      </c>
      <c r="R461">
        <f t="shared" si="31"/>
        <v>-14.9400000000023</v>
      </c>
    </row>
    <row r="462" spans="1:18" x14ac:dyDescent="0.2">
      <c r="A462" t="s">
        <v>14</v>
      </c>
      <c r="B462">
        <v>20231214</v>
      </c>
      <c r="C462">
        <v>101108.97</v>
      </c>
      <c r="D462">
        <v>101051.46</v>
      </c>
      <c r="E462">
        <v>933</v>
      </c>
      <c r="F462">
        <v>935</v>
      </c>
      <c r="G462" t="s">
        <v>473</v>
      </c>
      <c r="H462">
        <v>-57.509999999994697</v>
      </c>
      <c r="I462">
        <v>2</v>
      </c>
      <c r="J462" t="s">
        <v>16</v>
      </c>
      <c r="K462">
        <v>237.1</v>
      </c>
      <c r="L462">
        <v>244.46</v>
      </c>
      <c r="M462">
        <v>244.35</v>
      </c>
      <c r="N462">
        <v>243.75</v>
      </c>
      <c r="O462" s="1">
        <f t="shared" si="28"/>
        <v>3.1041754533952082E-2</v>
      </c>
      <c r="P462" s="1">
        <f t="shared" si="29"/>
        <v>-4.4997136545865679E-4</v>
      </c>
      <c r="Q462" t="str">
        <f t="shared" si="30"/>
        <v>IDLE</v>
      </c>
      <c r="R462">
        <f t="shared" si="31"/>
        <v>0</v>
      </c>
    </row>
    <row r="463" spans="1:18" x14ac:dyDescent="0.2">
      <c r="A463" t="s">
        <v>14</v>
      </c>
      <c r="B463">
        <v>20231214</v>
      </c>
      <c r="C463">
        <v>101051.46</v>
      </c>
      <c r="D463">
        <v>101121.98</v>
      </c>
      <c r="E463">
        <v>939</v>
      </c>
      <c r="F463">
        <v>946</v>
      </c>
      <c r="G463" t="s">
        <v>474</v>
      </c>
      <c r="H463">
        <v>70.519999999989494</v>
      </c>
      <c r="I463">
        <v>7</v>
      </c>
      <c r="J463" t="s">
        <v>16</v>
      </c>
      <c r="K463">
        <v>242.94</v>
      </c>
      <c r="L463">
        <v>243.86</v>
      </c>
      <c r="M463">
        <v>244.58</v>
      </c>
      <c r="N463">
        <v>244.72</v>
      </c>
      <c r="O463" s="1">
        <f t="shared" si="28"/>
        <v>3.7869432781756363E-3</v>
      </c>
      <c r="P463" s="1">
        <f t="shared" si="29"/>
        <v>2.9525137373902499E-3</v>
      </c>
      <c r="Q463" t="str">
        <f t="shared" si="30"/>
        <v>IDLE</v>
      </c>
      <c r="R463">
        <f t="shared" si="31"/>
        <v>0</v>
      </c>
    </row>
    <row r="464" spans="1:18" x14ac:dyDescent="0.2">
      <c r="A464" t="s">
        <v>14</v>
      </c>
      <c r="B464">
        <v>20231214</v>
      </c>
      <c r="C464">
        <v>101121.98</v>
      </c>
      <c r="D464">
        <v>101229.71</v>
      </c>
      <c r="E464">
        <v>950</v>
      </c>
      <c r="F464">
        <v>1002</v>
      </c>
      <c r="G464" t="s">
        <v>475</v>
      </c>
      <c r="H464">
        <v>107.73000000000999</v>
      </c>
      <c r="I464">
        <v>12</v>
      </c>
      <c r="J464" t="s">
        <v>16</v>
      </c>
      <c r="K464">
        <v>244.69</v>
      </c>
      <c r="L464">
        <v>244.76</v>
      </c>
      <c r="M464">
        <v>245.44</v>
      </c>
      <c r="N464">
        <v>246.09</v>
      </c>
      <c r="O464" s="1">
        <f t="shared" si="28"/>
        <v>2.860762597571842E-4</v>
      </c>
      <c r="P464" s="1">
        <f t="shared" si="29"/>
        <v>2.7782317372120335E-3</v>
      </c>
      <c r="Q464" t="str">
        <f t="shared" si="30"/>
        <v>IDLE</v>
      </c>
      <c r="R464">
        <f t="shared" si="31"/>
        <v>0</v>
      </c>
    </row>
    <row r="465" spans="1:18" x14ac:dyDescent="0.2">
      <c r="A465" t="s">
        <v>14</v>
      </c>
      <c r="B465">
        <v>20231214</v>
      </c>
      <c r="C465">
        <v>101229.71</v>
      </c>
      <c r="D465">
        <v>101352.02</v>
      </c>
      <c r="E465">
        <v>1006</v>
      </c>
      <c r="F465">
        <v>1015</v>
      </c>
      <c r="G465" t="s">
        <v>476</v>
      </c>
      <c r="H465">
        <v>122.309999999997</v>
      </c>
      <c r="I465">
        <v>9</v>
      </c>
      <c r="J465" t="s">
        <v>16</v>
      </c>
      <c r="K465">
        <v>245.55</v>
      </c>
      <c r="L465">
        <v>245.3</v>
      </c>
      <c r="M465">
        <v>246.97</v>
      </c>
      <c r="N465">
        <v>246.81</v>
      </c>
      <c r="O465" s="1">
        <f t="shared" si="28"/>
        <v>-1.0181225819588802E-3</v>
      </c>
      <c r="P465" s="1">
        <f t="shared" si="29"/>
        <v>6.8079902160618211E-3</v>
      </c>
      <c r="Q465" t="str">
        <f t="shared" si="30"/>
        <v>BUY</v>
      </c>
      <c r="R465">
        <f t="shared" si="31"/>
        <v>122.309999999997</v>
      </c>
    </row>
    <row r="466" spans="1:18" x14ac:dyDescent="0.2">
      <c r="A466" t="s">
        <v>14</v>
      </c>
      <c r="B466">
        <v>20231214</v>
      </c>
      <c r="C466">
        <v>101352.02</v>
      </c>
      <c r="D466">
        <v>101322.42</v>
      </c>
      <c r="E466">
        <v>1019</v>
      </c>
      <c r="F466">
        <v>1021</v>
      </c>
      <c r="G466" t="s">
        <v>477</v>
      </c>
      <c r="H466">
        <v>-29.600000000005799</v>
      </c>
      <c r="I466">
        <v>2</v>
      </c>
      <c r="J466" t="s">
        <v>16</v>
      </c>
      <c r="K466">
        <v>246.31</v>
      </c>
      <c r="L466">
        <v>247.13</v>
      </c>
      <c r="M466">
        <v>247.51</v>
      </c>
      <c r="N466">
        <v>246.76</v>
      </c>
      <c r="O466" s="1">
        <f t="shared" si="28"/>
        <v>3.3291380780318125E-3</v>
      </c>
      <c r="P466" s="1">
        <f t="shared" si="29"/>
        <v>1.5376522478047772E-3</v>
      </c>
      <c r="Q466" t="str">
        <f t="shared" si="30"/>
        <v>IDLE</v>
      </c>
      <c r="R466">
        <f t="shared" si="31"/>
        <v>0</v>
      </c>
    </row>
    <row r="467" spans="1:18" x14ac:dyDescent="0.2">
      <c r="A467" t="s">
        <v>14</v>
      </c>
      <c r="B467">
        <v>20231214</v>
      </c>
      <c r="C467">
        <v>101322.42</v>
      </c>
      <c r="D467">
        <v>101304.02</v>
      </c>
      <c r="E467">
        <v>1025</v>
      </c>
      <c r="F467">
        <v>1029</v>
      </c>
      <c r="G467" t="s">
        <v>478</v>
      </c>
      <c r="H467">
        <v>-18.399999999994101</v>
      </c>
      <c r="I467">
        <v>4</v>
      </c>
      <c r="J467" t="s">
        <v>16</v>
      </c>
      <c r="K467">
        <v>246.71</v>
      </c>
      <c r="L467">
        <v>247</v>
      </c>
      <c r="M467">
        <v>247.24</v>
      </c>
      <c r="N467">
        <v>246.77</v>
      </c>
      <c r="O467" s="1">
        <f t="shared" si="28"/>
        <v>1.1754691743341983E-3</v>
      </c>
      <c r="P467" s="1">
        <f t="shared" si="29"/>
        <v>9.7165991902836701E-4</v>
      </c>
      <c r="Q467" t="str">
        <f t="shared" si="30"/>
        <v>IDLE</v>
      </c>
      <c r="R467">
        <f t="shared" si="31"/>
        <v>0</v>
      </c>
    </row>
    <row r="468" spans="1:18" x14ac:dyDescent="0.2">
      <c r="A468" t="s">
        <v>14</v>
      </c>
      <c r="B468">
        <v>20231214</v>
      </c>
      <c r="C468">
        <v>101304.02</v>
      </c>
      <c r="D468">
        <v>101398.42</v>
      </c>
      <c r="E468">
        <v>1033</v>
      </c>
      <c r="F468">
        <v>1038</v>
      </c>
      <c r="G468" t="s">
        <v>479</v>
      </c>
      <c r="H468">
        <v>94.399999999994094</v>
      </c>
      <c r="I468">
        <v>5</v>
      </c>
      <c r="J468" t="s">
        <v>16</v>
      </c>
      <c r="K468">
        <v>246.56</v>
      </c>
      <c r="L468">
        <v>247.38</v>
      </c>
      <c r="M468">
        <v>247.58</v>
      </c>
      <c r="N468">
        <v>248.56</v>
      </c>
      <c r="O468" s="1">
        <f t="shared" si="28"/>
        <v>3.3257624918883177E-3</v>
      </c>
      <c r="P468" s="1">
        <f t="shared" si="29"/>
        <v>8.0847279489049129E-4</v>
      </c>
      <c r="Q468" t="str">
        <f t="shared" si="30"/>
        <v>IDLE</v>
      </c>
      <c r="R468">
        <f t="shared" si="31"/>
        <v>0</v>
      </c>
    </row>
    <row r="469" spans="1:18" x14ac:dyDescent="0.2">
      <c r="A469" t="s">
        <v>14</v>
      </c>
      <c r="B469">
        <v>20231214</v>
      </c>
      <c r="C469">
        <v>101398.42</v>
      </c>
      <c r="D469">
        <v>101315.22</v>
      </c>
      <c r="E469">
        <v>1042</v>
      </c>
      <c r="F469">
        <v>1047</v>
      </c>
      <c r="G469" t="s">
        <v>480</v>
      </c>
      <c r="H469">
        <v>-83.199999999997004</v>
      </c>
      <c r="I469">
        <v>5</v>
      </c>
      <c r="J469" t="s">
        <v>16</v>
      </c>
      <c r="K469">
        <v>247.68</v>
      </c>
      <c r="L469">
        <v>248.16</v>
      </c>
      <c r="M469">
        <v>249.75</v>
      </c>
      <c r="N469">
        <v>247.12</v>
      </c>
      <c r="O469" s="1">
        <f t="shared" si="28"/>
        <v>1.9379844961240345E-3</v>
      </c>
      <c r="P469" s="1">
        <f t="shared" si="29"/>
        <v>6.4071566731140894E-3</v>
      </c>
      <c r="Q469" t="str">
        <f t="shared" si="30"/>
        <v>BUY</v>
      </c>
      <c r="R469">
        <f t="shared" si="31"/>
        <v>-83.199999999997004</v>
      </c>
    </row>
    <row r="470" spans="1:18" x14ac:dyDescent="0.2">
      <c r="A470" t="s">
        <v>14</v>
      </c>
      <c r="B470">
        <v>20231214</v>
      </c>
      <c r="C470">
        <v>101315.22</v>
      </c>
      <c r="D470">
        <v>101321.62</v>
      </c>
      <c r="E470">
        <v>1130</v>
      </c>
      <c r="F470">
        <v>1136</v>
      </c>
      <c r="G470" t="s">
        <v>481</v>
      </c>
      <c r="H470">
        <v>6.3999999999941704</v>
      </c>
      <c r="I470">
        <v>6</v>
      </c>
      <c r="J470" t="s">
        <v>16</v>
      </c>
      <c r="K470">
        <v>246.95</v>
      </c>
      <c r="L470">
        <v>248.38</v>
      </c>
      <c r="M470">
        <v>248.45</v>
      </c>
      <c r="N470">
        <v>248.46</v>
      </c>
      <c r="O470" s="1">
        <f t="shared" si="28"/>
        <v>5.7906458797327698E-3</v>
      </c>
      <c r="P470" s="1">
        <f t="shared" si="29"/>
        <v>2.8182623399630735E-4</v>
      </c>
      <c r="Q470" t="str">
        <f t="shared" si="30"/>
        <v>IDLE</v>
      </c>
      <c r="R470">
        <f t="shared" si="31"/>
        <v>0</v>
      </c>
    </row>
    <row r="471" spans="1:18" x14ac:dyDescent="0.2">
      <c r="A471" t="s">
        <v>14</v>
      </c>
      <c r="B471">
        <v>20231214</v>
      </c>
      <c r="C471">
        <v>101321.62</v>
      </c>
      <c r="D471">
        <v>101291.22</v>
      </c>
      <c r="E471">
        <v>1140</v>
      </c>
      <c r="F471">
        <v>1141</v>
      </c>
      <c r="G471" t="s">
        <v>482</v>
      </c>
      <c r="H471">
        <v>-30.399999999994101</v>
      </c>
      <c r="I471">
        <v>1</v>
      </c>
      <c r="J471" t="s">
        <v>16</v>
      </c>
      <c r="K471">
        <v>248.47</v>
      </c>
      <c r="L471">
        <v>248.99</v>
      </c>
      <c r="M471">
        <v>249.17</v>
      </c>
      <c r="N471">
        <v>248.61</v>
      </c>
      <c r="O471" s="1">
        <f t="shared" si="28"/>
        <v>2.0928079848674397E-3</v>
      </c>
      <c r="P471" s="1">
        <f t="shared" si="29"/>
        <v>7.2292059922074436E-4</v>
      </c>
      <c r="Q471" t="str">
        <f t="shared" si="30"/>
        <v>IDLE</v>
      </c>
      <c r="R471">
        <f t="shared" si="31"/>
        <v>0</v>
      </c>
    </row>
    <row r="472" spans="1:18" x14ac:dyDescent="0.2">
      <c r="A472" t="s">
        <v>14</v>
      </c>
      <c r="B472">
        <v>20231214</v>
      </c>
      <c r="C472">
        <v>101291.22</v>
      </c>
      <c r="D472">
        <v>101297.62</v>
      </c>
      <c r="E472">
        <v>1145</v>
      </c>
      <c r="F472">
        <v>1154</v>
      </c>
      <c r="G472" t="s">
        <v>483</v>
      </c>
      <c r="H472">
        <v>6.3999999999941704</v>
      </c>
      <c r="I472">
        <v>9</v>
      </c>
      <c r="J472" t="s">
        <v>16</v>
      </c>
      <c r="K472">
        <v>248.39</v>
      </c>
      <c r="L472">
        <v>249.61</v>
      </c>
      <c r="M472">
        <v>249.51</v>
      </c>
      <c r="N472">
        <v>249.69</v>
      </c>
      <c r="O472" s="1">
        <f t="shared" si="28"/>
        <v>4.9116309030154959E-3</v>
      </c>
      <c r="P472" s="1">
        <f t="shared" si="29"/>
        <v>-4.0062497496107241E-4</v>
      </c>
      <c r="Q472" t="str">
        <f t="shared" si="30"/>
        <v>IDLE</v>
      </c>
      <c r="R472">
        <f t="shared" si="31"/>
        <v>0</v>
      </c>
    </row>
    <row r="473" spans="1:18" x14ac:dyDescent="0.2">
      <c r="A473" t="s">
        <v>14</v>
      </c>
      <c r="B473">
        <v>20231214</v>
      </c>
      <c r="C473">
        <v>101297.62</v>
      </c>
      <c r="D473">
        <v>101276.82</v>
      </c>
      <c r="E473">
        <v>1158</v>
      </c>
      <c r="F473">
        <v>1201</v>
      </c>
      <c r="G473" t="s">
        <v>484</v>
      </c>
      <c r="H473">
        <v>-20.799999999988302</v>
      </c>
      <c r="I473">
        <v>3</v>
      </c>
      <c r="J473" t="s">
        <v>16</v>
      </c>
      <c r="K473">
        <v>249.58</v>
      </c>
      <c r="L473">
        <v>249.78</v>
      </c>
      <c r="M473">
        <v>250.77</v>
      </c>
      <c r="N473">
        <v>249.52</v>
      </c>
      <c r="O473" s="1">
        <f t="shared" si="28"/>
        <v>8.0134626171957102E-4</v>
      </c>
      <c r="P473" s="1">
        <f t="shared" si="29"/>
        <v>3.9634878693250997E-3</v>
      </c>
      <c r="Q473" t="str">
        <f t="shared" si="30"/>
        <v>IDLE</v>
      </c>
      <c r="R473">
        <f t="shared" si="31"/>
        <v>0</v>
      </c>
    </row>
    <row r="474" spans="1:18" x14ac:dyDescent="0.2">
      <c r="A474" t="s">
        <v>14</v>
      </c>
      <c r="B474">
        <v>20231214</v>
      </c>
      <c r="C474">
        <v>101276.82</v>
      </c>
      <c r="D474">
        <v>101246.8</v>
      </c>
      <c r="E474">
        <v>1205</v>
      </c>
      <c r="F474">
        <v>1206</v>
      </c>
      <c r="G474" t="s">
        <v>485</v>
      </c>
      <c r="H474">
        <v>-30.020000000004</v>
      </c>
      <c r="I474">
        <v>1</v>
      </c>
      <c r="J474" t="s">
        <v>16</v>
      </c>
      <c r="K474">
        <v>249.56</v>
      </c>
      <c r="L474">
        <v>250.27</v>
      </c>
      <c r="M474">
        <v>250.23</v>
      </c>
      <c r="N474">
        <v>249.89</v>
      </c>
      <c r="O474" s="1">
        <f t="shared" si="28"/>
        <v>2.8450072126944281E-3</v>
      </c>
      <c r="P474" s="1">
        <f t="shared" si="29"/>
        <v>-1.5982738642272842E-4</v>
      </c>
      <c r="Q474" t="str">
        <f t="shared" si="30"/>
        <v>IDLE</v>
      </c>
      <c r="R474">
        <f t="shared" si="31"/>
        <v>0</v>
      </c>
    </row>
    <row r="475" spans="1:18" x14ac:dyDescent="0.2">
      <c r="A475" t="s">
        <v>14</v>
      </c>
      <c r="B475">
        <v>20231214</v>
      </c>
      <c r="C475">
        <v>101246.8</v>
      </c>
      <c r="D475">
        <v>101309.2</v>
      </c>
      <c r="E475">
        <v>1210</v>
      </c>
      <c r="F475">
        <v>1218</v>
      </c>
      <c r="G475" t="s">
        <v>486</v>
      </c>
      <c r="H475">
        <v>62.399999999994101</v>
      </c>
      <c r="I475">
        <v>8</v>
      </c>
      <c r="J475" t="s">
        <v>16</v>
      </c>
      <c r="K475">
        <v>249.65</v>
      </c>
      <c r="L475">
        <v>249.92</v>
      </c>
      <c r="M475">
        <v>250.38</v>
      </c>
      <c r="N475">
        <v>250.7</v>
      </c>
      <c r="O475" s="1">
        <f t="shared" si="28"/>
        <v>1.0815141197675349E-3</v>
      </c>
      <c r="P475" s="1">
        <f t="shared" si="29"/>
        <v>1.8405889884762772E-3</v>
      </c>
      <c r="Q475" t="str">
        <f t="shared" si="30"/>
        <v>IDLE</v>
      </c>
      <c r="R475">
        <f t="shared" si="31"/>
        <v>0</v>
      </c>
    </row>
    <row r="476" spans="1:18" x14ac:dyDescent="0.2">
      <c r="A476" t="s">
        <v>14</v>
      </c>
      <c r="B476">
        <v>20231214</v>
      </c>
      <c r="C476">
        <v>101309.2</v>
      </c>
      <c r="D476">
        <v>101394.52</v>
      </c>
      <c r="E476">
        <v>1222</v>
      </c>
      <c r="F476">
        <v>1250</v>
      </c>
      <c r="G476" t="s">
        <v>487</v>
      </c>
      <c r="H476">
        <v>85.3200000000069</v>
      </c>
      <c r="I476">
        <v>28</v>
      </c>
      <c r="J476" t="s">
        <v>16</v>
      </c>
      <c r="K476">
        <v>250.41</v>
      </c>
      <c r="L476">
        <v>251.7</v>
      </c>
      <c r="M476">
        <v>251.65</v>
      </c>
      <c r="N476">
        <v>252.78</v>
      </c>
      <c r="O476" s="1">
        <f t="shared" si="28"/>
        <v>5.1515514556128572E-3</v>
      </c>
      <c r="P476" s="1">
        <f t="shared" si="29"/>
        <v>-1.9864918553824662E-4</v>
      </c>
      <c r="Q476" t="str">
        <f t="shared" si="30"/>
        <v>IDLE</v>
      </c>
      <c r="R476">
        <f t="shared" si="31"/>
        <v>0</v>
      </c>
    </row>
    <row r="477" spans="1:18" x14ac:dyDescent="0.2">
      <c r="A477" t="s">
        <v>14</v>
      </c>
      <c r="B477">
        <v>20231215</v>
      </c>
      <c r="C477">
        <v>101394.52</v>
      </c>
      <c r="D477">
        <v>101342.52</v>
      </c>
      <c r="E477">
        <v>935</v>
      </c>
      <c r="F477">
        <v>937</v>
      </c>
      <c r="G477" t="s">
        <v>488</v>
      </c>
      <c r="H477">
        <v>-52</v>
      </c>
      <c r="I477">
        <v>2</v>
      </c>
      <c r="J477" t="s">
        <v>15</v>
      </c>
      <c r="K477">
        <v>248.98</v>
      </c>
      <c r="L477">
        <v>249.96</v>
      </c>
      <c r="M477">
        <v>251.4</v>
      </c>
      <c r="N477">
        <v>250.61</v>
      </c>
      <c r="O477" s="1">
        <f t="shared" si="28"/>
        <v>3.9360591212145302E-3</v>
      </c>
      <c r="P477" s="1">
        <f t="shared" si="29"/>
        <v>5.7609217474796637E-3</v>
      </c>
      <c r="Q477" t="str">
        <f t="shared" si="30"/>
        <v>SELL</v>
      </c>
      <c r="R477">
        <f t="shared" si="31"/>
        <v>-52</v>
      </c>
    </row>
    <row r="478" spans="1:18" x14ac:dyDescent="0.2">
      <c r="A478" t="s">
        <v>14</v>
      </c>
      <c r="B478">
        <v>20231215</v>
      </c>
      <c r="C478">
        <v>101342.52</v>
      </c>
      <c r="D478">
        <v>101250.09</v>
      </c>
      <c r="E478">
        <v>941</v>
      </c>
      <c r="F478">
        <v>942</v>
      </c>
      <c r="G478" t="s">
        <v>489</v>
      </c>
      <c r="H478">
        <v>-92.430000000007496</v>
      </c>
      <c r="I478">
        <v>1</v>
      </c>
      <c r="J478" t="s">
        <v>15</v>
      </c>
      <c r="K478">
        <v>249.01</v>
      </c>
      <c r="L478">
        <v>250.9</v>
      </c>
      <c r="M478">
        <v>251.12</v>
      </c>
      <c r="N478">
        <v>252.07</v>
      </c>
      <c r="O478" s="1">
        <f t="shared" si="28"/>
        <v>7.5900566242319556E-3</v>
      </c>
      <c r="P478" s="1">
        <f t="shared" si="29"/>
        <v>8.7684336388993422E-4</v>
      </c>
      <c r="Q478" t="str">
        <f t="shared" si="30"/>
        <v>SELL</v>
      </c>
      <c r="R478">
        <f t="shared" si="31"/>
        <v>-92.430000000007496</v>
      </c>
    </row>
    <row r="479" spans="1:18" x14ac:dyDescent="0.2">
      <c r="A479" t="s">
        <v>14</v>
      </c>
      <c r="B479">
        <v>20231215</v>
      </c>
      <c r="C479">
        <v>101250.09</v>
      </c>
      <c r="D479">
        <v>101230.09</v>
      </c>
      <c r="E479">
        <v>953</v>
      </c>
      <c r="F479">
        <v>1002</v>
      </c>
      <c r="G479" t="s">
        <v>490</v>
      </c>
      <c r="H479">
        <v>-20</v>
      </c>
      <c r="I479">
        <v>9</v>
      </c>
      <c r="J479" t="s">
        <v>15</v>
      </c>
      <c r="K479">
        <v>248.8</v>
      </c>
      <c r="L479">
        <v>249.97</v>
      </c>
      <c r="M479">
        <v>250.75</v>
      </c>
      <c r="N479">
        <v>250.22</v>
      </c>
      <c r="O479" s="1">
        <f t="shared" si="28"/>
        <v>4.7025723472668979E-3</v>
      </c>
      <c r="P479" s="1">
        <f t="shared" si="29"/>
        <v>3.1203744449332937E-3</v>
      </c>
      <c r="Q479" t="str">
        <f t="shared" si="30"/>
        <v>SELL</v>
      </c>
      <c r="R479">
        <f t="shared" si="31"/>
        <v>-20</v>
      </c>
    </row>
    <row r="480" spans="1:18" x14ac:dyDescent="0.2">
      <c r="A480" t="s">
        <v>14</v>
      </c>
      <c r="B480">
        <v>20231215</v>
      </c>
      <c r="C480">
        <v>101230.09</v>
      </c>
      <c r="D480">
        <v>101216.66</v>
      </c>
      <c r="E480">
        <v>1006</v>
      </c>
      <c r="F480">
        <v>1007</v>
      </c>
      <c r="G480" t="s">
        <v>491</v>
      </c>
      <c r="H480">
        <v>-13.429999999993001</v>
      </c>
      <c r="I480">
        <v>1</v>
      </c>
      <c r="J480" t="s">
        <v>15</v>
      </c>
      <c r="K480">
        <v>249.24</v>
      </c>
      <c r="L480">
        <v>250.99</v>
      </c>
      <c r="M480">
        <v>250.81</v>
      </c>
      <c r="N480">
        <v>251.16</v>
      </c>
      <c r="O480" s="1">
        <f t="shared" si="28"/>
        <v>7.0213448884608454E-3</v>
      </c>
      <c r="P480" s="1">
        <f t="shared" si="29"/>
        <v>-7.1716004621702467E-4</v>
      </c>
      <c r="Q480" t="str">
        <f t="shared" si="30"/>
        <v>SELL</v>
      </c>
      <c r="R480">
        <f t="shared" si="31"/>
        <v>-13.429999999993001</v>
      </c>
    </row>
    <row r="481" spans="1:18" x14ac:dyDescent="0.2">
      <c r="A481" t="s">
        <v>14</v>
      </c>
      <c r="B481">
        <v>20231215</v>
      </c>
      <c r="C481">
        <v>101216.66</v>
      </c>
      <c r="D481">
        <v>101204.81</v>
      </c>
      <c r="E481">
        <v>1011</v>
      </c>
      <c r="F481">
        <v>1012</v>
      </c>
      <c r="G481" t="s">
        <v>492</v>
      </c>
      <c r="H481">
        <v>-11.850000000005799</v>
      </c>
      <c r="I481">
        <v>1</v>
      </c>
      <c r="J481" t="s">
        <v>15</v>
      </c>
      <c r="K481">
        <v>250.11</v>
      </c>
      <c r="L481">
        <v>251.37</v>
      </c>
      <c r="M481">
        <v>251.73</v>
      </c>
      <c r="N481">
        <v>251.52</v>
      </c>
      <c r="O481" s="1">
        <f t="shared" si="28"/>
        <v>5.0377833753147971E-3</v>
      </c>
      <c r="P481" s="1">
        <f t="shared" si="29"/>
        <v>1.4321518080915308E-3</v>
      </c>
      <c r="Q481" t="str">
        <f t="shared" si="30"/>
        <v>SELL</v>
      </c>
      <c r="R481">
        <f t="shared" si="31"/>
        <v>-11.850000000005799</v>
      </c>
    </row>
    <row r="482" spans="1:18" x14ac:dyDescent="0.2">
      <c r="A482" t="s">
        <v>14</v>
      </c>
      <c r="B482">
        <v>20231215</v>
      </c>
      <c r="C482">
        <v>101204.81</v>
      </c>
      <c r="D482">
        <v>101267.22</v>
      </c>
      <c r="E482">
        <v>1019</v>
      </c>
      <c r="F482">
        <v>1035</v>
      </c>
      <c r="G482" t="s">
        <v>493</v>
      </c>
      <c r="H482">
        <v>62.4100000000034</v>
      </c>
      <c r="I482">
        <v>16</v>
      </c>
      <c r="J482" t="s">
        <v>16</v>
      </c>
      <c r="K482">
        <v>251.12</v>
      </c>
      <c r="L482">
        <v>251.43</v>
      </c>
      <c r="M482">
        <v>252.46</v>
      </c>
      <c r="N482">
        <v>252.22</v>
      </c>
      <c r="O482" s="1">
        <f t="shared" si="28"/>
        <v>1.2344695762982472E-3</v>
      </c>
      <c r="P482" s="1">
        <f t="shared" si="29"/>
        <v>4.0965676331383705E-3</v>
      </c>
      <c r="Q482" t="str">
        <f t="shared" si="30"/>
        <v>IDLE</v>
      </c>
      <c r="R482">
        <f t="shared" si="31"/>
        <v>0</v>
      </c>
    </row>
    <row r="483" spans="1:18" x14ac:dyDescent="0.2">
      <c r="A483" t="s">
        <v>14</v>
      </c>
      <c r="B483">
        <v>20231215</v>
      </c>
      <c r="C483">
        <v>101267.22</v>
      </c>
      <c r="D483">
        <v>101233.25</v>
      </c>
      <c r="E483">
        <v>1039</v>
      </c>
      <c r="F483">
        <v>1043</v>
      </c>
      <c r="G483" t="s">
        <v>494</v>
      </c>
      <c r="H483">
        <v>-33.9700000000011</v>
      </c>
      <c r="I483">
        <v>4</v>
      </c>
      <c r="J483" t="s">
        <v>16</v>
      </c>
      <c r="K483">
        <v>252.22</v>
      </c>
      <c r="L483">
        <v>252.62</v>
      </c>
      <c r="M483">
        <v>252.98</v>
      </c>
      <c r="N483">
        <v>252.19</v>
      </c>
      <c r="O483" s="1">
        <f t="shared" si="28"/>
        <v>1.5859170565379888E-3</v>
      </c>
      <c r="P483" s="1">
        <f t="shared" si="29"/>
        <v>1.4250653154934678E-3</v>
      </c>
      <c r="Q483" t="str">
        <f t="shared" si="30"/>
        <v>IDLE</v>
      </c>
      <c r="R483">
        <f t="shared" si="31"/>
        <v>0</v>
      </c>
    </row>
    <row r="484" spans="1:18" x14ac:dyDescent="0.2">
      <c r="A484" t="s">
        <v>14</v>
      </c>
      <c r="B484">
        <v>20231215</v>
      </c>
      <c r="C484">
        <v>101233.25</v>
      </c>
      <c r="D484">
        <v>101187.43</v>
      </c>
      <c r="E484">
        <v>1047</v>
      </c>
      <c r="F484">
        <v>1048</v>
      </c>
      <c r="G484" t="s">
        <v>495</v>
      </c>
      <c r="H484">
        <v>-45.8200000000069</v>
      </c>
      <c r="I484">
        <v>1</v>
      </c>
      <c r="J484" t="s">
        <v>16</v>
      </c>
      <c r="K484">
        <v>251.96</v>
      </c>
      <c r="L484">
        <v>251.95</v>
      </c>
      <c r="M484">
        <v>252.73</v>
      </c>
      <c r="N484">
        <v>251.37</v>
      </c>
      <c r="O484" s="1">
        <f t="shared" si="28"/>
        <v>-3.9688839498452921E-5</v>
      </c>
      <c r="P484" s="1">
        <f t="shared" si="29"/>
        <v>3.0958523516571024E-3</v>
      </c>
      <c r="Q484" t="str">
        <f t="shared" si="30"/>
        <v>IDLE</v>
      </c>
      <c r="R484">
        <f t="shared" si="31"/>
        <v>0</v>
      </c>
    </row>
    <row r="485" spans="1:18" x14ac:dyDescent="0.2">
      <c r="A485" t="s">
        <v>14</v>
      </c>
      <c r="B485">
        <v>20231215</v>
      </c>
      <c r="C485">
        <v>101187.43</v>
      </c>
      <c r="D485">
        <v>101170.84</v>
      </c>
      <c r="E485">
        <v>1052</v>
      </c>
      <c r="F485">
        <v>1105</v>
      </c>
      <c r="G485" t="s">
        <v>496</v>
      </c>
      <c r="H485">
        <v>-16.5899999999965</v>
      </c>
      <c r="I485">
        <v>13</v>
      </c>
      <c r="J485" t="s">
        <v>16</v>
      </c>
      <c r="K485">
        <v>251.53</v>
      </c>
      <c r="L485">
        <v>251.71</v>
      </c>
      <c r="M485">
        <v>252.32</v>
      </c>
      <c r="N485">
        <v>251.5</v>
      </c>
      <c r="O485" s="1">
        <f t="shared" si="28"/>
        <v>7.1562040313288833E-4</v>
      </c>
      <c r="P485" s="1">
        <f t="shared" si="29"/>
        <v>2.423423781335643E-3</v>
      </c>
      <c r="Q485" t="str">
        <f t="shared" si="30"/>
        <v>IDLE</v>
      </c>
      <c r="R485">
        <f t="shared" si="31"/>
        <v>0</v>
      </c>
    </row>
    <row r="486" spans="1:18" x14ac:dyDescent="0.2">
      <c r="A486" t="s">
        <v>14</v>
      </c>
      <c r="B486">
        <v>20231215</v>
      </c>
      <c r="C486">
        <v>101170.84</v>
      </c>
      <c r="D486">
        <v>101136.87</v>
      </c>
      <c r="E486">
        <v>1130</v>
      </c>
      <c r="F486">
        <v>1131</v>
      </c>
      <c r="G486" t="s">
        <v>497</v>
      </c>
      <c r="H486">
        <v>-33.9700000000011</v>
      </c>
      <c r="I486">
        <v>1</v>
      </c>
      <c r="J486" t="s">
        <v>16</v>
      </c>
      <c r="K486">
        <v>251.06</v>
      </c>
      <c r="L486">
        <v>251.76</v>
      </c>
      <c r="M486">
        <v>251.96</v>
      </c>
      <c r="N486">
        <v>251.33</v>
      </c>
      <c r="O486" s="1">
        <f t="shared" si="28"/>
        <v>2.7881781247509618E-3</v>
      </c>
      <c r="P486" s="1">
        <f t="shared" si="29"/>
        <v>7.9440737210045853E-4</v>
      </c>
      <c r="Q486" t="str">
        <f t="shared" si="30"/>
        <v>IDLE</v>
      </c>
      <c r="R486">
        <f t="shared" si="31"/>
        <v>0</v>
      </c>
    </row>
    <row r="487" spans="1:18" x14ac:dyDescent="0.2">
      <c r="A487" t="s">
        <v>14</v>
      </c>
      <c r="B487">
        <v>20231215</v>
      </c>
      <c r="C487">
        <v>101136.87</v>
      </c>
      <c r="D487">
        <v>101121.07</v>
      </c>
      <c r="E487">
        <v>1135</v>
      </c>
      <c r="F487">
        <v>1141</v>
      </c>
      <c r="G487" t="s">
        <v>498</v>
      </c>
      <c r="H487">
        <v>-15.7999999999883</v>
      </c>
      <c r="I487">
        <v>6</v>
      </c>
      <c r="J487" t="s">
        <v>16</v>
      </c>
      <c r="K487">
        <v>251.07</v>
      </c>
      <c r="L487">
        <v>251.33</v>
      </c>
      <c r="M487">
        <v>251.84</v>
      </c>
      <c r="N487">
        <v>251.13</v>
      </c>
      <c r="O487" s="1">
        <f t="shared" si="28"/>
        <v>1.0355677699447341E-3</v>
      </c>
      <c r="P487" s="1">
        <f t="shared" si="29"/>
        <v>2.0292046313610257E-3</v>
      </c>
      <c r="Q487" t="str">
        <f t="shared" si="30"/>
        <v>IDLE</v>
      </c>
      <c r="R487">
        <f t="shared" si="31"/>
        <v>0</v>
      </c>
    </row>
    <row r="488" spans="1:18" x14ac:dyDescent="0.2">
      <c r="A488" t="s">
        <v>14</v>
      </c>
      <c r="B488">
        <v>20231215</v>
      </c>
      <c r="C488">
        <v>101121.07</v>
      </c>
      <c r="D488">
        <v>101163.73</v>
      </c>
      <c r="E488">
        <v>1145</v>
      </c>
      <c r="F488">
        <v>1203</v>
      </c>
      <c r="G488" t="s">
        <v>499</v>
      </c>
      <c r="H488">
        <v>42.659999999988898</v>
      </c>
      <c r="I488">
        <v>18</v>
      </c>
      <c r="J488" t="s">
        <v>16</v>
      </c>
      <c r="K488">
        <v>251.1</v>
      </c>
      <c r="L488">
        <v>251.68</v>
      </c>
      <c r="M488">
        <v>251.63</v>
      </c>
      <c r="N488">
        <v>252.22</v>
      </c>
      <c r="O488" s="1">
        <f t="shared" si="28"/>
        <v>2.3098367184388735E-3</v>
      </c>
      <c r="P488" s="1">
        <f t="shared" si="29"/>
        <v>-1.9866497139231498E-4</v>
      </c>
      <c r="Q488" t="str">
        <f t="shared" si="30"/>
        <v>IDLE</v>
      </c>
      <c r="R488">
        <f t="shared" si="31"/>
        <v>0</v>
      </c>
    </row>
    <row r="489" spans="1:18" x14ac:dyDescent="0.2">
      <c r="A489" t="s">
        <v>14</v>
      </c>
      <c r="B489">
        <v>20231215</v>
      </c>
      <c r="C489">
        <v>101163.73</v>
      </c>
      <c r="D489">
        <v>101171.63</v>
      </c>
      <c r="E489">
        <v>1207</v>
      </c>
      <c r="F489">
        <v>1242</v>
      </c>
      <c r="G489" t="s">
        <v>500</v>
      </c>
      <c r="H489">
        <v>7.9000000000087303</v>
      </c>
      <c r="I489">
        <v>35</v>
      </c>
      <c r="J489" t="s">
        <v>16</v>
      </c>
      <c r="K489">
        <v>252.23</v>
      </c>
      <c r="L489">
        <v>252.45</v>
      </c>
      <c r="M489">
        <v>252.88</v>
      </c>
      <c r="N489">
        <v>252.55</v>
      </c>
      <c r="O489" s="1">
        <f t="shared" si="28"/>
        <v>8.7221979938933991E-4</v>
      </c>
      <c r="P489" s="1">
        <f t="shared" si="29"/>
        <v>1.7033075856605073E-3</v>
      </c>
      <c r="Q489" t="str">
        <f t="shared" si="30"/>
        <v>IDLE</v>
      </c>
      <c r="R489">
        <f t="shared" si="31"/>
        <v>0</v>
      </c>
    </row>
    <row r="490" spans="1:18" x14ac:dyDescent="0.2">
      <c r="A490" t="s">
        <v>14</v>
      </c>
      <c r="B490">
        <v>20231215</v>
      </c>
      <c r="C490">
        <v>101171.63</v>
      </c>
      <c r="D490">
        <v>101141.61</v>
      </c>
      <c r="E490">
        <v>1543</v>
      </c>
      <c r="F490">
        <v>1545</v>
      </c>
      <c r="G490" t="s">
        <v>501</v>
      </c>
      <c r="H490">
        <v>-30.020000000004</v>
      </c>
      <c r="I490">
        <v>2</v>
      </c>
      <c r="J490" t="s">
        <v>16</v>
      </c>
      <c r="K490">
        <v>251.88</v>
      </c>
      <c r="L490">
        <v>252.88</v>
      </c>
      <c r="M490">
        <v>252.8</v>
      </c>
      <c r="N490">
        <v>252.5</v>
      </c>
      <c r="O490" s="1">
        <f t="shared" si="28"/>
        <v>3.9701445132602764E-3</v>
      </c>
      <c r="P490" s="1">
        <f t="shared" si="29"/>
        <v>-3.1635558367604233E-4</v>
      </c>
      <c r="Q490" t="str">
        <f t="shared" si="30"/>
        <v>IDLE</v>
      </c>
      <c r="R490">
        <f t="shared" si="31"/>
        <v>0</v>
      </c>
    </row>
    <row r="491" spans="1:18" x14ac:dyDescent="0.2">
      <c r="A491" t="s">
        <v>14</v>
      </c>
      <c r="B491">
        <v>20231215</v>
      </c>
      <c r="C491">
        <v>101141.61</v>
      </c>
      <c r="D491">
        <v>101229.3</v>
      </c>
      <c r="E491">
        <v>1549</v>
      </c>
      <c r="F491">
        <v>1557</v>
      </c>
      <c r="G491" t="s">
        <v>502</v>
      </c>
      <c r="H491">
        <v>87.6900000000023</v>
      </c>
      <c r="I491">
        <v>8</v>
      </c>
      <c r="J491" t="s">
        <v>16</v>
      </c>
      <c r="K491">
        <v>252.49</v>
      </c>
      <c r="L491">
        <v>252.69</v>
      </c>
      <c r="M491">
        <v>252.83</v>
      </c>
      <c r="N491">
        <v>253.8</v>
      </c>
      <c r="O491" s="1">
        <f t="shared" si="28"/>
        <v>7.9211057863681766E-4</v>
      </c>
      <c r="P491" s="1">
        <f t="shared" si="29"/>
        <v>5.5403854525315488E-4</v>
      </c>
      <c r="Q491" t="str">
        <f t="shared" si="30"/>
        <v>IDLE</v>
      </c>
      <c r="R491">
        <f t="shared" si="31"/>
        <v>0</v>
      </c>
    </row>
    <row r="492" spans="1:18" x14ac:dyDescent="0.2">
      <c r="A492" t="s">
        <v>14</v>
      </c>
      <c r="B492">
        <v>20231218</v>
      </c>
      <c r="C492">
        <v>101229.3</v>
      </c>
      <c r="D492">
        <v>101301.06</v>
      </c>
      <c r="E492">
        <v>933</v>
      </c>
      <c r="F492">
        <v>947</v>
      </c>
      <c r="G492" t="s">
        <v>503</v>
      </c>
      <c r="H492">
        <v>71.759999999994704</v>
      </c>
      <c r="I492">
        <v>14</v>
      </c>
      <c r="J492" t="s">
        <v>16</v>
      </c>
      <c r="K492">
        <v>252.96</v>
      </c>
      <c r="L492">
        <v>255.5</v>
      </c>
      <c r="M492">
        <v>254.74</v>
      </c>
      <c r="N492">
        <v>256.42</v>
      </c>
      <c r="O492" s="1">
        <f t="shared" si="28"/>
        <v>1.0041113219481312E-2</v>
      </c>
      <c r="P492" s="1">
        <f t="shared" si="29"/>
        <v>-2.9745596868884228E-3</v>
      </c>
      <c r="Q492" t="str">
        <f t="shared" si="30"/>
        <v>IDLE</v>
      </c>
      <c r="R492">
        <f t="shared" si="31"/>
        <v>0</v>
      </c>
    </row>
    <row r="493" spans="1:18" x14ac:dyDescent="0.2">
      <c r="A493" t="s">
        <v>14</v>
      </c>
      <c r="B493">
        <v>20231218</v>
      </c>
      <c r="C493">
        <v>101301.06</v>
      </c>
      <c r="D493">
        <v>101264.1</v>
      </c>
      <c r="E493">
        <v>951</v>
      </c>
      <c r="F493">
        <v>952</v>
      </c>
      <c r="G493" t="s">
        <v>504</v>
      </c>
      <c r="H493">
        <v>-36.959999999991801</v>
      </c>
      <c r="I493">
        <v>1</v>
      </c>
      <c r="J493" t="s">
        <v>16</v>
      </c>
      <c r="K493">
        <v>256.5</v>
      </c>
      <c r="L493">
        <v>257.14999999999998</v>
      </c>
      <c r="M493">
        <v>257.42</v>
      </c>
      <c r="N493">
        <v>256.67</v>
      </c>
      <c r="O493" s="1">
        <f t="shared" si="28"/>
        <v>2.5341130604288331E-3</v>
      </c>
      <c r="P493" s="1">
        <f t="shared" si="29"/>
        <v>1.0499708341435987E-3</v>
      </c>
      <c r="Q493" t="str">
        <f t="shared" si="30"/>
        <v>IDLE</v>
      </c>
      <c r="R493">
        <f t="shared" si="31"/>
        <v>0</v>
      </c>
    </row>
    <row r="494" spans="1:18" x14ac:dyDescent="0.2">
      <c r="A494" t="s">
        <v>14</v>
      </c>
      <c r="B494">
        <v>20231218</v>
      </c>
      <c r="C494">
        <v>101264.1</v>
      </c>
      <c r="D494">
        <v>101377.2</v>
      </c>
      <c r="E494">
        <v>956</v>
      </c>
      <c r="F494">
        <v>1027</v>
      </c>
      <c r="G494" t="s">
        <v>505</v>
      </c>
      <c r="H494">
        <v>113.099999999991</v>
      </c>
      <c r="I494">
        <v>31</v>
      </c>
      <c r="J494" t="s">
        <v>16</v>
      </c>
      <c r="K494">
        <v>256.19</v>
      </c>
      <c r="L494">
        <v>256.41000000000003</v>
      </c>
      <c r="M494">
        <v>257.23</v>
      </c>
      <c r="N494">
        <v>257.86</v>
      </c>
      <c r="O494" s="1">
        <f t="shared" si="28"/>
        <v>8.5873765564636884E-4</v>
      </c>
      <c r="P494" s="1">
        <f t="shared" si="29"/>
        <v>3.1980031980032297E-3</v>
      </c>
      <c r="Q494" t="str">
        <f t="shared" si="30"/>
        <v>IDLE</v>
      </c>
      <c r="R494">
        <f t="shared" si="31"/>
        <v>0</v>
      </c>
    </row>
    <row r="495" spans="1:18" x14ac:dyDescent="0.2">
      <c r="A495" t="s">
        <v>14</v>
      </c>
      <c r="B495">
        <v>20231218</v>
      </c>
      <c r="C495">
        <v>101377.2</v>
      </c>
      <c r="D495">
        <v>101334.85</v>
      </c>
      <c r="E495">
        <v>1031</v>
      </c>
      <c r="F495">
        <v>1037</v>
      </c>
      <c r="G495" t="s">
        <v>506</v>
      </c>
      <c r="H495">
        <v>-42.349999999991198</v>
      </c>
      <c r="I495">
        <v>6</v>
      </c>
      <c r="J495" t="s">
        <v>16</v>
      </c>
      <c r="K495">
        <v>257.77</v>
      </c>
      <c r="L495">
        <v>257.62</v>
      </c>
      <c r="M495">
        <v>258.60000000000002</v>
      </c>
      <c r="N495">
        <v>257.07</v>
      </c>
      <c r="O495" s="1">
        <f t="shared" si="28"/>
        <v>-5.8191410947738831E-4</v>
      </c>
      <c r="P495" s="1">
        <f t="shared" si="29"/>
        <v>3.8040524803975018E-3</v>
      </c>
      <c r="Q495" t="str">
        <f t="shared" si="30"/>
        <v>IDLE</v>
      </c>
      <c r="R495">
        <f t="shared" si="31"/>
        <v>0</v>
      </c>
    </row>
    <row r="496" spans="1:18" x14ac:dyDescent="0.2">
      <c r="A496" t="s">
        <v>14</v>
      </c>
      <c r="B496">
        <v>20231218</v>
      </c>
      <c r="C496">
        <v>101334.85</v>
      </c>
      <c r="D496">
        <v>101344.21</v>
      </c>
      <c r="E496">
        <v>1149</v>
      </c>
      <c r="F496">
        <v>1207</v>
      </c>
      <c r="G496" t="s">
        <v>507</v>
      </c>
      <c r="H496">
        <v>9.3600000000005803</v>
      </c>
      <c r="I496">
        <v>18</v>
      </c>
      <c r="J496" t="s">
        <v>15</v>
      </c>
      <c r="K496">
        <v>254.51</v>
      </c>
      <c r="L496">
        <v>254.41</v>
      </c>
      <c r="M496">
        <v>255.28</v>
      </c>
      <c r="N496">
        <v>254.29</v>
      </c>
      <c r="O496" s="1">
        <f t="shared" si="28"/>
        <v>-3.9291186986756266E-4</v>
      </c>
      <c r="P496" s="1">
        <f t="shared" si="29"/>
        <v>3.4196768994929627E-3</v>
      </c>
      <c r="Q496" t="str">
        <f t="shared" si="30"/>
        <v>IDLE</v>
      </c>
      <c r="R496">
        <f t="shared" si="31"/>
        <v>0</v>
      </c>
    </row>
    <row r="497" spans="1:18" x14ac:dyDescent="0.2">
      <c r="A497" t="s">
        <v>14</v>
      </c>
      <c r="B497">
        <v>20231218</v>
      </c>
      <c r="C497">
        <v>101344.21</v>
      </c>
      <c r="D497">
        <v>101327.83</v>
      </c>
      <c r="E497">
        <v>1211</v>
      </c>
      <c r="F497">
        <v>1220</v>
      </c>
      <c r="G497" t="s">
        <v>508</v>
      </c>
      <c r="H497">
        <v>-16.3800000000046</v>
      </c>
      <c r="I497">
        <v>9</v>
      </c>
      <c r="J497" t="s">
        <v>15</v>
      </c>
      <c r="K497">
        <v>253.58</v>
      </c>
      <c r="L497">
        <v>254</v>
      </c>
      <c r="M497">
        <v>254.49</v>
      </c>
      <c r="N497">
        <v>254.21</v>
      </c>
      <c r="O497" s="1">
        <f t="shared" si="28"/>
        <v>1.6562820411702983E-3</v>
      </c>
      <c r="P497" s="1">
        <f t="shared" si="29"/>
        <v>1.9291338582676509E-3</v>
      </c>
      <c r="Q497" t="str">
        <f t="shared" si="30"/>
        <v>SELL</v>
      </c>
      <c r="R497">
        <f t="shared" si="31"/>
        <v>-16.3800000000046</v>
      </c>
    </row>
    <row r="498" spans="1:18" x14ac:dyDescent="0.2">
      <c r="A498" t="s">
        <v>14</v>
      </c>
      <c r="B498">
        <v>20231218</v>
      </c>
      <c r="C498">
        <v>101327.83</v>
      </c>
      <c r="D498">
        <v>101323.15</v>
      </c>
      <c r="E498">
        <v>1224</v>
      </c>
      <c r="F498">
        <v>1226</v>
      </c>
      <c r="G498" t="s">
        <v>509</v>
      </c>
      <c r="H498">
        <v>-4.6800000000075599</v>
      </c>
      <c r="I498">
        <v>2</v>
      </c>
      <c r="J498" t="s">
        <v>15</v>
      </c>
      <c r="K498">
        <v>253.62</v>
      </c>
      <c r="L498">
        <v>254.15</v>
      </c>
      <c r="M498">
        <v>254.2</v>
      </c>
      <c r="N498">
        <v>254.21</v>
      </c>
      <c r="O498" s="1">
        <f t="shared" si="28"/>
        <v>2.0897405567383842E-3</v>
      </c>
      <c r="P498" s="1">
        <f t="shared" si="29"/>
        <v>1.9673421207944131E-4</v>
      </c>
      <c r="Q498" t="str">
        <f t="shared" si="30"/>
        <v>SELL</v>
      </c>
      <c r="R498">
        <f t="shared" si="31"/>
        <v>-4.6800000000075599</v>
      </c>
    </row>
    <row r="499" spans="1:18" x14ac:dyDescent="0.2">
      <c r="A499" t="s">
        <v>14</v>
      </c>
      <c r="B499">
        <v>20231218</v>
      </c>
      <c r="C499">
        <v>101323.15</v>
      </c>
      <c r="D499">
        <v>101292.73</v>
      </c>
      <c r="E499">
        <v>1313</v>
      </c>
      <c r="F499">
        <v>1321</v>
      </c>
      <c r="G499" t="s">
        <v>510</v>
      </c>
      <c r="H499">
        <v>-30.4199999999982</v>
      </c>
      <c r="I499">
        <v>8</v>
      </c>
      <c r="J499" t="s">
        <v>15</v>
      </c>
      <c r="K499">
        <v>254.62</v>
      </c>
      <c r="L499">
        <v>254.44</v>
      </c>
      <c r="M499">
        <v>255.35</v>
      </c>
      <c r="N499">
        <v>254.83</v>
      </c>
      <c r="O499" s="1">
        <f t="shared" si="28"/>
        <v>-7.0693582593672755E-4</v>
      </c>
      <c r="P499" s="1">
        <f t="shared" si="29"/>
        <v>3.5764816852696946E-3</v>
      </c>
      <c r="Q499" t="str">
        <f t="shared" si="30"/>
        <v>IDLE</v>
      </c>
      <c r="R499">
        <f t="shared" si="31"/>
        <v>0</v>
      </c>
    </row>
    <row r="500" spans="1:18" x14ac:dyDescent="0.2">
      <c r="A500" t="s">
        <v>14</v>
      </c>
      <c r="B500">
        <v>20231218</v>
      </c>
      <c r="C500">
        <v>101292.73</v>
      </c>
      <c r="D500">
        <v>101318.47</v>
      </c>
      <c r="E500">
        <v>1325</v>
      </c>
      <c r="F500">
        <v>1345</v>
      </c>
      <c r="G500" t="s">
        <v>511</v>
      </c>
      <c r="H500">
        <v>25.7400000000052</v>
      </c>
      <c r="I500">
        <v>20</v>
      </c>
      <c r="J500" t="s">
        <v>15</v>
      </c>
      <c r="K500">
        <v>254.26</v>
      </c>
      <c r="L500">
        <v>254.77</v>
      </c>
      <c r="M500">
        <v>254.82</v>
      </c>
      <c r="N500">
        <v>254.44</v>
      </c>
      <c r="O500" s="1">
        <f t="shared" si="28"/>
        <v>2.0058208133406641E-3</v>
      </c>
      <c r="P500" s="1">
        <f t="shared" si="29"/>
        <v>1.9625544608858903E-4</v>
      </c>
      <c r="Q500" t="str">
        <f t="shared" si="30"/>
        <v>SELL</v>
      </c>
      <c r="R500">
        <f t="shared" si="31"/>
        <v>25.7400000000052</v>
      </c>
    </row>
    <row r="501" spans="1:18" x14ac:dyDescent="0.2">
      <c r="A501" t="s">
        <v>14</v>
      </c>
      <c r="B501">
        <v>20231218</v>
      </c>
      <c r="C501">
        <v>101318.47</v>
      </c>
      <c r="D501">
        <v>101307.55</v>
      </c>
      <c r="E501">
        <v>1404</v>
      </c>
      <c r="F501">
        <v>1406</v>
      </c>
      <c r="G501" t="s">
        <v>512</v>
      </c>
      <c r="H501">
        <v>-10.9199999999982</v>
      </c>
      <c r="I501">
        <v>2</v>
      </c>
      <c r="J501" t="s">
        <v>15</v>
      </c>
      <c r="K501">
        <v>254.04</v>
      </c>
      <c r="L501">
        <v>254.44</v>
      </c>
      <c r="M501">
        <v>254.67</v>
      </c>
      <c r="N501">
        <v>254.58</v>
      </c>
      <c r="O501" s="1">
        <f t="shared" si="28"/>
        <v>1.57455518815941E-3</v>
      </c>
      <c r="P501" s="1">
        <f t="shared" si="29"/>
        <v>9.0394592045273114E-4</v>
      </c>
      <c r="Q501" t="str">
        <f t="shared" si="30"/>
        <v>SELL</v>
      </c>
      <c r="R501">
        <f t="shared" si="31"/>
        <v>-10.9199999999982</v>
      </c>
    </row>
    <row r="502" spans="1:18" x14ac:dyDescent="0.2">
      <c r="A502" t="s">
        <v>14</v>
      </c>
      <c r="B502">
        <v>20231218</v>
      </c>
      <c r="C502">
        <v>101307.55</v>
      </c>
      <c r="D502">
        <v>101287.27</v>
      </c>
      <c r="E502">
        <v>1419</v>
      </c>
      <c r="F502">
        <v>1420</v>
      </c>
      <c r="G502" t="s">
        <v>513</v>
      </c>
      <c r="H502">
        <v>-20.2799999999988</v>
      </c>
      <c r="I502">
        <v>1</v>
      </c>
      <c r="J502" t="s">
        <v>15</v>
      </c>
      <c r="K502">
        <v>253.99</v>
      </c>
      <c r="L502">
        <v>253.79</v>
      </c>
      <c r="M502">
        <v>255.1</v>
      </c>
      <c r="N502">
        <v>254.05</v>
      </c>
      <c r="O502" s="1">
        <f t="shared" si="28"/>
        <v>-7.8743257608571149E-4</v>
      </c>
      <c r="P502" s="1">
        <f t="shared" si="29"/>
        <v>5.1617479018086776E-3</v>
      </c>
      <c r="Q502" t="str">
        <f t="shared" si="30"/>
        <v>IDLE</v>
      </c>
      <c r="R502">
        <f t="shared" si="31"/>
        <v>0</v>
      </c>
    </row>
    <row r="503" spans="1:18" x14ac:dyDescent="0.2">
      <c r="A503" t="s">
        <v>14</v>
      </c>
      <c r="B503">
        <v>20231218</v>
      </c>
      <c r="C503">
        <v>101287.27</v>
      </c>
      <c r="D503">
        <v>101300.53</v>
      </c>
      <c r="E503">
        <v>1424</v>
      </c>
      <c r="F503">
        <v>1440</v>
      </c>
      <c r="G503" t="s">
        <v>514</v>
      </c>
      <c r="H503">
        <v>13.259999999994699</v>
      </c>
      <c r="I503">
        <v>16</v>
      </c>
      <c r="J503" t="s">
        <v>15</v>
      </c>
      <c r="K503">
        <v>253.53</v>
      </c>
      <c r="L503">
        <v>253.71</v>
      </c>
      <c r="M503">
        <v>254.57</v>
      </c>
      <c r="N503">
        <v>253.54</v>
      </c>
      <c r="O503" s="1">
        <f t="shared" si="28"/>
        <v>7.0997515086967944E-4</v>
      </c>
      <c r="P503" s="1">
        <f t="shared" si="29"/>
        <v>3.3896968980331454E-3</v>
      </c>
      <c r="Q503" t="str">
        <f t="shared" si="30"/>
        <v>SELL</v>
      </c>
      <c r="R503">
        <f t="shared" si="31"/>
        <v>13.259999999994699</v>
      </c>
    </row>
    <row r="504" spans="1:18" x14ac:dyDescent="0.2">
      <c r="A504" t="s">
        <v>14</v>
      </c>
      <c r="B504">
        <v>20231218</v>
      </c>
      <c r="C504">
        <v>101300.53</v>
      </c>
      <c r="D504">
        <v>101302.11</v>
      </c>
      <c r="E504">
        <v>1444</v>
      </c>
      <c r="F504">
        <v>1452</v>
      </c>
      <c r="G504" t="s">
        <v>515</v>
      </c>
      <c r="H504">
        <v>1.58000000000174</v>
      </c>
      <c r="I504">
        <v>8</v>
      </c>
      <c r="J504" t="s">
        <v>15</v>
      </c>
      <c r="K504">
        <v>253.04</v>
      </c>
      <c r="L504">
        <v>253.05</v>
      </c>
      <c r="M504">
        <v>253.47</v>
      </c>
      <c r="N504">
        <v>253.03</v>
      </c>
      <c r="O504" s="1">
        <f t="shared" si="28"/>
        <v>3.9519443566282675E-5</v>
      </c>
      <c r="P504" s="1">
        <f t="shared" si="29"/>
        <v>1.6597510373443924E-3</v>
      </c>
      <c r="Q504" t="str">
        <f t="shared" si="30"/>
        <v>IDLE</v>
      </c>
      <c r="R504">
        <f t="shared" si="31"/>
        <v>0</v>
      </c>
    </row>
    <row r="505" spans="1:18" x14ac:dyDescent="0.2">
      <c r="A505" t="s">
        <v>14</v>
      </c>
      <c r="B505">
        <v>20231218</v>
      </c>
      <c r="C505">
        <v>101302.11</v>
      </c>
      <c r="D505">
        <v>101271.3</v>
      </c>
      <c r="E505">
        <v>1538</v>
      </c>
      <c r="F505">
        <v>1542</v>
      </c>
      <c r="G505" t="s">
        <v>516</v>
      </c>
      <c r="H505">
        <v>-30.809999999997601</v>
      </c>
      <c r="I505">
        <v>4</v>
      </c>
      <c r="J505" t="s">
        <v>15</v>
      </c>
      <c r="K505">
        <v>251.96</v>
      </c>
      <c r="L505">
        <v>251.74</v>
      </c>
      <c r="M505">
        <v>253</v>
      </c>
      <c r="N505">
        <v>252.13</v>
      </c>
      <c r="O505" s="1">
        <f t="shared" si="28"/>
        <v>-8.7315446896329973E-4</v>
      </c>
      <c r="P505" s="1">
        <f t="shared" si="29"/>
        <v>5.0051640581552093E-3</v>
      </c>
      <c r="Q505" t="str">
        <f t="shared" si="30"/>
        <v>IDLE</v>
      </c>
      <c r="R505">
        <f t="shared" si="31"/>
        <v>0</v>
      </c>
    </row>
    <row r="506" spans="1:18" x14ac:dyDescent="0.2">
      <c r="A506" t="s">
        <v>14</v>
      </c>
      <c r="B506">
        <v>20231218</v>
      </c>
      <c r="C506">
        <v>101271.3</v>
      </c>
      <c r="D506">
        <v>101262.61</v>
      </c>
      <c r="E506">
        <v>1546</v>
      </c>
      <c r="F506">
        <v>1549</v>
      </c>
      <c r="G506" t="s">
        <v>517</v>
      </c>
      <c r="H506">
        <v>-8.6900000000023194</v>
      </c>
      <c r="I506">
        <v>3</v>
      </c>
      <c r="J506" t="s">
        <v>15</v>
      </c>
      <c r="K506">
        <v>251.69</v>
      </c>
      <c r="L506">
        <v>252.22</v>
      </c>
      <c r="M506">
        <v>252.28</v>
      </c>
      <c r="N506">
        <v>252.33</v>
      </c>
      <c r="O506" s="1">
        <f t="shared" si="28"/>
        <v>2.1057650284079799E-3</v>
      </c>
      <c r="P506" s="1">
        <f t="shared" si="29"/>
        <v>2.3788755848075382E-4</v>
      </c>
      <c r="Q506" t="str">
        <f t="shared" si="30"/>
        <v>SELL</v>
      </c>
      <c r="R506">
        <f t="shared" si="31"/>
        <v>-8.6900000000023194</v>
      </c>
    </row>
    <row r="507" spans="1:18" x14ac:dyDescent="0.2">
      <c r="A507" t="s">
        <v>14</v>
      </c>
      <c r="B507">
        <v>20231218</v>
      </c>
      <c r="C507">
        <v>101262.61</v>
      </c>
      <c r="D507">
        <v>101235.75</v>
      </c>
      <c r="E507">
        <v>1553</v>
      </c>
      <c r="F507">
        <v>1554</v>
      </c>
      <c r="G507" t="s">
        <v>518</v>
      </c>
      <c r="H507">
        <v>-26.8600000000005</v>
      </c>
      <c r="I507">
        <v>1</v>
      </c>
      <c r="J507" t="s">
        <v>15</v>
      </c>
      <c r="K507">
        <v>251.98</v>
      </c>
      <c r="L507">
        <v>252.2</v>
      </c>
      <c r="M507">
        <v>252.46</v>
      </c>
      <c r="N507">
        <v>252.54</v>
      </c>
      <c r="O507" s="1">
        <f t="shared" si="28"/>
        <v>8.730851654892291E-4</v>
      </c>
      <c r="P507" s="1">
        <f t="shared" si="29"/>
        <v>1.0309278350515427E-3</v>
      </c>
      <c r="Q507" t="str">
        <f t="shared" si="30"/>
        <v>SELL</v>
      </c>
      <c r="R507">
        <f t="shared" si="31"/>
        <v>-26.8600000000005</v>
      </c>
    </row>
    <row r="508" spans="1:18" x14ac:dyDescent="0.2">
      <c r="A508" t="s">
        <v>14</v>
      </c>
      <c r="B508">
        <v>20231219</v>
      </c>
      <c r="C508">
        <v>101235.75</v>
      </c>
      <c r="D508">
        <v>101208.45</v>
      </c>
      <c r="E508">
        <v>933</v>
      </c>
      <c r="F508">
        <v>944</v>
      </c>
      <c r="G508" t="s">
        <v>519</v>
      </c>
      <c r="H508">
        <v>-27.3000000000029</v>
      </c>
      <c r="I508">
        <v>11</v>
      </c>
      <c r="J508" t="s">
        <v>16</v>
      </c>
      <c r="K508">
        <v>251.31</v>
      </c>
      <c r="L508">
        <v>254.97</v>
      </c>
      <c r="M508">
        <v>254.86</v>
      </c>
      <c r="N508">
        <v>254.62</v>
      </c>
      <c r="O508" s="1">
        <f t="shared" si="28"/>
        <v>1.4563686283872501E-2</v>
      </c>
      <c r="P508" s="1">
        <f t="shared" si="29"/>
        <v>-4.3142330470247181E-4</v>
      </c>
      <c r="Q508" t="str">
        <f t="shared" si="30"/>
        <v>IDLE</v>
      </c>
      <c r="R508">
        <f t="shared" si="31"/>
        <v>0</v>
      </c>
    </row>
    <row r="509" spans="1:18" x14ac:dyDescent="0.2">
      <c r="A509" t="s">
        <v>14</v>
      </c>
      <c r="B509">
        <v>20231219</v>
      </c>
      <c r="C509">
        <v>101208.45</v>
      </c>
      <c r="D509">
        <v>101145.27</v>
      </c>
      <c r="E509">
        <v>948</v>
      </c>
      <c r="F509">
        <v>956</v>
      </c>
      <c r="G509" t="s">
        <v>520</v>
      </c>
      <c r="H509">
        <v>-63.179999999993001</v>
      </c>
      <c r="I509">
        <v>8</v>
      </c>
      <c r="J509" t="s">
        <v>16</v>
      </c>
      <c r="K509">
        <v>254.45</v>
      </c>
      <c r="L509">
        <v>255.16</v>
      </c>
      <c r="M509">
        <v>255.31</v>
      </c>
      <c r="N509">
        <v>254.35</v>
      </c>
      <c r="O509" s="1">
        <f t="shared" si="28"/>
        <v>2.7903320888189587E-3</v>
      </c>
      <c r="P509" s="1">
        <f t="shared" si="29"/>
        <v>5.8786643674557659E-4</v>
      </c>
      <c r="Q509" t="str">
        <f t="shared" si="30"/>
        <v>IDLE</v>
      </c>
      <c r="R509">
        <f t="shared" si="31"/>
        <v>0</v>
      </c>
    </row>
    <row r="510" spans="1:18" x14ac:dyDescent="0.2">
      <c r="A510" t="s">
        <v>14</v>
      </c>
      <c r="B510">
        <v>20231219</v>
      </c>
      <c r="C510">
        <v>101145.27</v>
      </c>
      <c r="D510">
        <v>101169.45</v>
      </c>
      <c r="E510">
        <v>1008</v>
      </c>
      <c r="F510">
        <v>1036</v>
      </c>
      <c r="G510" t="s">
        <v>521</v>
      </c>
      <c r="H510">
        <v>24.179999999993001</v>
      </c>
      <c r="I510">
        <v>28</v>
      </c>
      <c r="J510" t="s">
        <v>16</v>
      </c>
      <c r="K510">
        <v>253.86</v>
      </c>
      <c r="L510">
        <v>256</v>
      </c>
      <c r="M510">
        <v>256.02999999999997</v>
      </c>
      <c r="N510">
        <v>256.31</v>
      </c>
      <c r="O510" s="1">
        <f t="shared" si="28"/>
        <v>8.4298432206728613E-3</v>
      </c>
      <c r="P510" s="1">
        <f t="shared" si="29"/>
        <v>1.1718749999989342E-4</v>
      </c>
      <c r="Q510" t="str">
        <f t="shared" si="30"/>
        <v>IDLE</v>
      </c>
      <c r="R510">
        <f t="shared" si="31"/>
        <v>0</v>
      </c>
    </row>
    <row r="511" spans="1:18" x14ac:dyDescent="0.2">
      <c r="A511" t="s">
        <v>14</v>
      </c>
      <c r="B511">
        <v>20231219</v>
      </c>
      <c r="C511">
        <v>101169.45</v>
      </c>
      <c r="D511">
        <v>101216.42</v>
      </c>
      <c r="E511">
        <v>1050</v>
      </c>
      <c r="F511">
        <v>1116</v>
      </c>
      <c r="G511" t="s">
        <v>522</v>
      </c>
      <c r="H511">
        <v>46.9700000000011</v>
      </c>
      <c r="I511">
        <v>26</v>
      </c>
      <c r="J511" t="s">
        <v>16</v>
      </c>
      <c r="K511">
        <v>255.9</v>
      </c>
      <c r="L511">
        <v>256.94</v>
      </c>
      <c r="M511">
        <v>256.95</v>
      </c>
      <c r="N511">
        <v>257.55</v>
      </c>
      <c r="O511" s="1">
        <f t="shared" si="28"/>
        <v>4.0640875341930727E-3</v>
      </c>
      <c r="P511" s="1">
        <f t="shared" si="29"/>
        <v>3.8919592122654834E-5</v>
      </c>
      <c r="Q511" t="str">
        <f t="shared" si="30"/>
        <v>IDLE</v>
      </c>
      <c r="R511">
        <f t="shared" si="31"/>
        <v>0</v>
      </c>
    </row>
    <row r="512" spans="1:18" x14ac:dyDescent="0.2">
      <c r="A512" t="s">
        <v>14</v>
      </c>
      <c r="B512">
        <v>20231219</v>
      </c>
      <c r="C512">
        <v>101216.42</v>
      </c>
      <c r="D512">
        <v>101221.04</v>
      </c>
      <c r="E512">
        <v>1131</v>
      </c>
      <c r="F512">
        <v>1150</v>
      </c>
      <c r="G512" t="s">
        <v>523</v>
      </c>
      <c r="H512">
        <v>4.6199999999953398</v>
      </c>
      <c r="I512">
        <v>19</v>
      </c>
      <c r="J512" t="s">
        <v>16</v>
      </c>
      <c r="K512">
        <v>257.06</v>
      </c>
      <c r="L512">
        <v>257.05</v>
      </c>
      <c r="M512">
        <v>258.16000000000003</v>
      </c>
      <c r="N512">
        <v>257.11</v>
      </c>
      <c r="O512" s="1">
        <f t="shared" si="28"/>
        <v>-3.8901423792037093E-5</v>
      </c>
      <c r="P512" s="1">
        <f t="shared" si="29"/>
        <v>4.3182260260650196E-3</v>
      </c>
      <c r="Q512" t="str">
        <f t="shared" si="30"/>
        <v>IDLE</v>
      </c>
      <c r="R512">
        <f t="shared" si="31"/>
        <v>0</v>
      </c>
    </row>
    <row r="513" spans="1:18" x14ac:dyDescent="0.2">
      <c r="A513" t="s">
        <v>14</v>
      </c>
      <c r="B513">
        <v>20231219</v>
      </c>
      <c r="C513">
        <v>101221.04</v>
      </c>
      <c r="D513">
        <v>101204.1</v>
      </c>
      <c r="E513">
        <v>1342</v>
      </c>
      <c r="F513">
        <v>1347</v>
      </c>
      <c r="G513" t="s">
        <v>524</v>
      </c>
      <c r="H513">
        <v>-16.939999999987698</v>
      </c>
      <c r="I513">
        <v>5</v>
      </c>
      <c r="J513" t="s">
        <v>16</v>
      </c>
      <c r="K513">
        <v>256.01</v>
      </c>
      <c r="L513">
        <v>256.69</v>
      </c>
      <c r="M513">
        <v>256.75</v>
      </c>
      <c r="N513">
        <v>256.47000000000003</v>
      </c>
      <c r="O513" s="1">
        <f t="shared" si="28"/>
        <v>2.6561462442873385E-3</v>
      </c>
      <c r="P513" s="1">
        <f t="shared" si="29"/>
        <v>2.3374498422223944E-4</v>
      </c>
      <c r="Q513" t="str">
        <f t="shared" si="30"/>
        <v>IDLE</v>
      </c>
      <c r="R513">
        <f t="shared" si="31"/>
        <v>0</v>
      </c>
    </row>
    <row r="514" spans="1:18" x14ac:dyDescent="0.2">
      <c r="A514" t="s">
        <v>14</v>
      </c>
      <c r="B514">
        <v>20231219</v>
      </c>
      <c r="C514">
        <v>101204.1</v>
      </c>
      <c r="D514">
        <v>101185.38</v>
      </c>
      <c r="E514">
        <v>1351</v>
      </c>
      <c r="F514">
        <v>1352</v>
      </c>
      <c r="G514" t="s">
        <v>525</v>
      </c>
      <c r="H514">
        <v>-18.7200000000011</v>
      </c>
      <c r="I514">
        <v>1</v>
      </c>
      <c r="J514" t="s">
        <v>16</v>
      </c>
      <c r="K514">
        <v>256.37</v>
      </c>
      <c r="L514">
        <v>256.41000000000003</v>
      </c>
      <c r="M514">
        <v>256.92</v>
      </c>
      <c r="N514">
        <v>256.17</v>
      </c>
      <c r="O514" s="1">
        <f t="shared" si="28"/>
        <v>1.5602449584584122E-4</v>
      </c>
      <c r="P514" s="1">
        <f t="shared" si="29"/>
        <v>1.9890019890018706E-3</v>
      </c>
      <c r="Q514" t="str">
        <f t="shared" si="30"/>
        <v>IDLE</v>
      </c>
      <c r="R514">
        <f t="shared" si="31"/>
        <v>0</v>
      </c>
    </row>
    <row r="515" spans="1:18" x14ac:dyDescent="0.2">
      <c r="A515" t="s">
        <v>14</v>
      </c>
      <c r="B515">
        <v>20231219</v>
      </c>
      <c r="C515">
        <v>101185.38</v>
      </c>
      <c r="D515">
        <v>101173.06</v>
      </c>
      <c r="E515">
        <v>1445</v>
      </c>
      <c r="F515">
        <v>1450</v>
      </c>
      <c r="G515" t="s">
        <v>526</v>
      </c>
      <c r="H515">
        <v>-12.3200000000069</v>
      </c>
      <c r="I515">
        <v>5</v>
      </c>
      <c r="J515" t="s">
        <v>16</v>
      </c>
      <c r="K515">
        <v>255.77</v>
      </c>
      <c r="L515">
        <v>256.57</v>
      </c>
      <c r="M515">
        <v>256.55</v>
      </c>
      <c r="N515">
        <v>256.41000000000003</v>
      </c>
      <c r="O515" s="1">
        <f t="shared" si="28"/>
        <v>3.1278101419243143E-3</v>
      </c>
      <c r="P515" s="1">
        <f t="shared" si="29"/>
        <v>-7.7951436255108142E-5</v>
      </c>
      <c r="Q515" t="str">
        <f t="shared" si="30"/>
        <v>IDLE</v>
      </c>
      <c r="R515">
        <f t="shared" si="31"/>
        <v>0</v>
      </c>
    </row>
    <row r="516" spans="1:18" x14ac:dyDescent="0.2">
      <c r="A516" t="s">
        <v>14</v>
      </c>
      <c r="B516">
        <v>20231219</v>
      </c>
      <c r="C516">
        <v>101173.06</v>
      </c>
      <c r="D516">
        <v>101156.12</v>
      </c>
      <c r="E516">
        <v>1454</v>
      </c>
      <c r="F516">
        <v>1455</v>
      </c>
      <c r="G516" t="s">
        <v>527</v>
      </c>
      <c r="H516">
        <v>-16.9400000000023</v>
      </c>
      <c r="I516">
        <v>1</v>
      </c>
      <c r="J516" t="s">
        <v>16</v>
      </c>
      <c r="K516">
        <v>256.36</v>
      </c>
      <c r="L516">
        <v>256.75</v>
      </c>
      <c r="M516">
        <v>256.76</v>
      </c>
      <c r="N516">
        <v>256.52999999999997</v>
      </c>
      <c r="O516" s="1">
        <f t="shared" ref="O516:O579" si="32">(L516/K516)-1</f>
        <v>1.5212981744421317E-3</v>
      </c>
      <c r="P516" s="1">
        <f t="shared" ref="P516:P579" si="33">(M516/L516)-1</f>
        <v>3.8948393378701596E-5</v>
      </c>
      <c r="Q516" t="str">
        <f t="shared" ref="Q516:Q579" si="34">IF(J516="SELL",IF(O516&gt;=$O$1,"SELL","IDLE"),IF(P516&gt;=$P$1,"BUY","IDLE"))</f>
        <v>IDLE</v>
      </c>
      <c r="R516">
        <f t="shared" ref="R516:R579" si="35">IF(Q516&lt;&gt;"IDLE",H516,0)</f>
        <v>0</v>
      </c>
    </row>
    <row r="517" spans="1:18" x14ac:dyDescent="0.2">
      <c r="A517" t="s">
        <v>14</v>
      </c>
      <c r="B517">
        <v>20231219</v>
      </c>
      <c r="C517">
        <v>101156.12</v>
      </c>
      <c r="D517">
        <v>101124.55</v>
      </c>
      <c r="E517">
        <v>1459</v>
      </c>
      <c r="F517">
        <v>1506</v>
      </c>
      <c r="G517" t="s">
        <v>528</v>
      </c>
      <c r="H517">
        <v>-31.569999999992401</v>
      </c>
      <c r="I517">
        <v>7</v>
      </c>
      <c r="J517" t="s">
        <v>16</v>
      </c>
      <c r="K517">
        <v>256.38</v>
      </c>
      <c r="L517">
        <v>256.64999999999998</v>
      </c>
      <c r="M517">
        <v>256.76</v>
      </c>
      <c r="N517">
        <v>256.24</v>
      </c>
      <c r="O517" s="1">
        <f t="shared" si="32"/>
        <v>1.0531242686635522E-3</v>
      </c>
      <c r="P517" s="1">
        <f t="shared" si="33"/>
        <v>4.2859925969218615E-4</v>
      </c>
      <c r="Q517" t="str">
        <f t="shared" si="34"/>
        <v>IDLE</v>
      </c>
      <c r="R517">
        <f t="shared" si="35"/>
        <v>0</v>
      </c>
    </row>
    <row r="518" spans="1:18" x14ac:dyDescent="0.2">
      <c r="A518" t="s">
        <v>14</v>
      </c>
      <c r="B518">
        <v>20231219</v>
      </c>
      <c r="C518">
        <v>101124.55</v>
      </c>
      <c r="D518">
        <v>101119.93</v>
      </c>
      <c r="E518">
        <v>1545</v>
      </c>
      <c r="F518">
        <v>1548</v>
      </c>
      <c r="G518" t="s">
        <v>529</v>
      </c>
      <c r="H518">
        <v>-4.62000000000989</v>
      </c>
      <c r="I518">
        <v>3</v>
      </c>
      <c r="J518" t="s">
        <v>16</v>
      </c>
      <c r="K518">
        <v>256.25</v>
      </c>
      <c r="L518">
        <v>256.44</v>
      </c>
      <c r="M518">
        <v>256.60000000000002</v>
      </c>
      <c r="N518">
        <v>256.38</v>
      </c>
      <c r="O518" s="1">
        <f t="shared" si="32"/>
        <v>7.4146341463410259E-4</v>
      </c>
      <c r="P518" s="1">
        <f t="shared" si="33"/>
        <v>6.2392762439555938E-4</v>
      </c>
      <c r="Q518" t="str">
        <f t="shared" si="34"/>
        <v>IDLE</v>
      </c>
      <c r="R518">
        <f t="shared" si="35"/>
        <v>0</v>
      </c>
    </row>
    <row r="519" spans="1:18" x14ac:dyDescent="0.2">
      <c r="A519" t="s">
        <v>14</v>
      </c>
      <c r="B519">
        <v>20231219</v>
      </c>
      <c r="C519">
        <v>101119.93</v>
      </c>
      <c r="D519">
        <v>101129.94</v>
      </c>
      <c r="E519">
        <v>1552</v>
      </c>
      <c r="F519">
        <v>1557</v>
      </c>
      <c r="G519" t="s">
        <v>530</v>
      </c>
      <c r="H519">
        <v>10.010000000009301</v>
      </c>
      <c r="I519">
        <v>5</v>
      </c>
      <c r="J519" t="s">
        <v>16</v>
      </c>
      <c r="K519">
        <v>256.32</v>
      </c>
      <c r="L519">
        <v>256.67</v>
      </c>
      <c r="M519">
        <v>256.79000000000002</v>
      </c>
      <c r="N519">
        <v>256.8</v>
      </c>
      <c r="O519" s="1">
        <f t="shared" si="32"/>
        <v>1.3654806491885108E-3</v>
      </c>
      <c r="P519" s="1">
        <f t="shared" si="33"/>
        <v>4.6752639576119748E-4</v>
      </c>
      <c r="Q519" t="str">
        <f t="shared" si="34"/>
        <v>IDLE</v>
      </c>
      <c r="R519">
        <f t="shared" si="35"/>
        <v>0</v>
      </c>
    </row>
    <row r="520" spans="1:18" x14ac:dyDescent="0.2">
      <c r="A520" t="s">
        <v>14</v>
      </c>
      <c r="B520">
        <v>20231220</v>
      </c>
      <c r="C520">
        <v>101129.94</v>
      </c>
      <c r="D520">
        <v>101160.74</v>
      </c>
      <c r="E520">
        <v>948</v>
      </c>
      <c r="F520">
        <v>956</v>
      </c>
      <c r="G520" t="s">
        <v>531</v>
      </c>
      <c r="H520">
        <v>30.8000000000029</v>
      </c>
      <c r="I520">
        <v>8</v>
      </c>
      <c r="J520" t="s">
        <v>16</v>
      </c>
      <c r="K520">
        <v>256.79000000000002</v>
      </c>
      <c r="L520">
        <v>257.83</v>
      </c>
      <c r="M520">
        <v>258.04000000000002</v>
      </c>
      <c r="N520">
        <v>258.23</v>
      </c>
      <c r="O520" s="1">
        <f t="shared" si="32"/>
        <v>4.050001947116133E-3</v>
      </c>
      <c r="P520" s="1">
        <f t="shared" si="33"/>
        <v>8.1449016794032936E-4</v>
      </c>
      <c r="Q520" t="str">
        <f t="shared" si="34"/>
        <v>IDLE</v>
      </c>
      <c r="R520">
        <f t="shared" si="35"/>
        <v>0</v>
      </c>
    </row>
    <row r="521" spans="1:18" x14ac:dyDescent="0.2">
      <c r="A521" t="s">
        <v>14</v>
      </c>
      <c r="B521">
        <v>20231220</v>
      </c>
      <c r="C521">
        <v>101160.74</v>
      </c>
      <c r="D521">
        <v>101147.65</v>
      </c>
      <c r="E521">
        <v>1000</v>
      </c>
      <c r="F521">
        <v>1010</v>
      </c>
      <c r="G521" t="s">
        <v>532</v>
      </c>
      <c r="H521">
        <v>-13.090000000011001</v>
      </c>
      <c r="I521">
        <v>10</v>
      </c>
      <c r="J521" t="s">
        <v>16</v>
      </c>
      <c r="K521">
        <v>258.32</v>
      </c>
      <c r="L521">
        <v>259.27</v>
      </c>
      <c r="M521">
        <v>259.17</v>
      </c>
      <c r="N521">
        <v>259.10000000000002</v>
      </c>
      <c r="O521" s="1">
        <f t="shared" si="32"/>
        <v>3.6776091669246114E-3</v>
      </c>
      <c r="P521" s="1">
        <f t="shared" si="33"/>
        <v>-3.8569830678425454E-4</v>
      </c>
      <c r="Q521" t="str">
        <f t="shared" si="34"/>
        <v>IDLE</v>
      </c>
      <c r="R521">
        <f t="shared" si="35"/>
        <v>0</v>
      </c>
    </row>
    <row r="522" spans="1:18" x14ac:dyDescent="0.2">
      <c r="A522" t="s">
        <v>14</v>
      </c>
      <c r="B522">
        <v>20231220</v>
      </c>
      <c r="C522">
        <v>101147.65</v>
      </c>
      <c r="D522">
        <v>101123.78</v>
      </c>
      <c r="E522">
        <v>1014</v>
      </c>
      <c r="F522">
        <v>1020</v>
      </c>
      <c r="G522" t="s">
        <v>533</v>
      </c>
      <c r="H522">
        <v>-23.869999999995301</v>
      </c>
      <c r="I522">
        <v>6</v>
      </c>
      <c r="J522" t="s">
        <v>16</v>
      </c>
      <c r="K522">
        <v>258.70999999999998</v>
      </c>
      <c r="L522">
        <v>258.79000000000002</v>
      </c>
      <c r="M522">
        <v>259.70999999999998</v>
      </c>
      <c r="N522">
        <v>258.48</v>
      </c>
      <c r="O522" s="1">
        <f t="shared" si="32"/>
        <v>3.0922654709919506E-4</v>
      </c>
      <c r="P522" s="1">
        <f t="shared" si="33"/>
        <v>3.5550059894120523E-3</v>
      </c>
      <c r="Q522" t="str">
        <f t="shared" si="34"/>
        <v>IDLE</v>
      </c>
      <c r="R522">
        <f t="shared" si="35"/>
        <v>0</v>
      </c>
    </row>
    <row r="523" spans="1:18" x14ac:dyDescent="0.2">
      <c r="A523" t="s">
        <v>14</v>
      </c>
      <c r="B523">
        <v>20231220</v>
      </c>
      <c r="C523">
        <v>101123.78</v>
      </c>
      <c r="D523">
        <v>101079.89</v>
      </c>
      <c r="E523">
        <v>1024</v>
      </c>
      <c r="F523">
        <v>1027</v>
      </c>
      <c r="G523" t="s">
        <v>534</v>
      </c>
      <c r="H523">
        <v>-43.889999999999397</v>
      </c>
      <c r="I523">
        <v>3</v>
      </c>
      <c r="J523" t="s">
        <v>16</v>
      </c>
      <c r="K523">
        <v>258.45999999999998</v>
      </c>
      <c r="L523">
        <v>259.38</v>
      </c>
      <c r="M523">
        <v>259.16000000000003</v>
      </c>
      <c r="N523">
        <v>258.81</v>
      </c>
      <c r="O523" s="1">
        <f t="shared" si="32"/>
        <v>3.5595449972916082E-3</v>
      </c>
      <c r="P523" s="1">
        <f t="shared" si="33"/>
        <v>-8.4817642069534571E-4</v>
      </c>
      <c r="Q523" t="str">
        <f t="shared" si="34"/>
        <v>IDLE</v>
      </c>
      <c r="R523">
        <f t="shared" si="35"/>
        <v>0</v>
      </c>
    </row>
    <row r="524" spans="1:18" x14ac:dyDescent="0.2">
      <c r="A524" t="s">
        <v>14</v>
      </c>
      <c r="B524">
        <v>20231220</v>
      </c>
      <c r="C524">
        <v>101079.89</v>
      </c>
      <c r="D524">
        <v>101036</v>
      </c>
      <c r="E524">
        <v>1031</v>
      </c>
      <c r="F524">
        <v>1035</v>
      </c>
      <c r="G524" t="s">
        <v>535</v>
      </c>
      <c r="H524">
        <v>-43.889999999999397</v>
      </c>
      <c r="I524">
        <v>4</v>
      </c>
      <c r="J524" t="s">
        <v>16</v>
      </c>
      <c r="K524">
        <v>258.35000000000002</v>
      </c>
      <c r="L524">
        <v>258.42</v>
      </c>
      <c r="M524">
        <v>259.33999999999997</v>
      </c>
      <c r="N524">
        <v>257.85000000000002</v>
      </c>
      <c r="O524" s="1">
        <f t="shared" si="32"/>
        <v>2.7095026127343935E-4</v>
      </c>
      <c r="P524" s="1">
        <f t="shared" si="33"/>
        <v>3.5600959678041555E-3</v>
      </c>
      <c r="Q524" t="str">
        <f t="shared" si="34"/>
        <v>IDLE</v>
      </c>
      <c r="R524">
        <f t="shared" si="35"/>
        <v>0</v>
      </c>
    </row>
    <row r="525" spans="1:18" x14ac:dyDescent="0.2">
      <c r="A525" t="s">
        <v>14</v>
      </c>
      <c r="B525">
        <v>20231220</v>
      </c>
      <c r="C525">
        <v>101036</v>
      </c>
      <c r="D525">
        <v>101028.98</v>
      </c>
      <c r="E525">
        <v>1234</v>
      </c>
      <c r="F525">
        <v>1235</v>
      </c>
      <c r="G525" t="s">
        <v>536</v>
      </c>
      <c r="H525">
        <v>-7.0200000000040701</v>
      </c>
      <c r="I525">
        <v>1</v>
      </c>
      <c r="J525" t="s">
        <v>15</v>
      </c>
      <c r="K525">
        <v>255.39</v>
      </c>
      <c r="L525">
        <v>255.68</v>
      </c>
      <c r="M525">
        <v>256.11</v>
      </c>
      <c r="N525">
        <v>255.77</v>
      </c>
      <c r="O525" s="1">
        <f t="shared" si="32"/>
        <v>1.1355182270254005E-3</v>
      </c>
      <c r="P525" s="1">
        <f t="shared" si="33"/>
        <v>1.6817897371714796E-3</v>
      </c>
      <c r="Q525" t="str">
        <f t="shared" si="34"/>
        <v>SELL</v>
      </c>
      <c r="R525">
        <f t="shared" si="35"/>
        <v>-7.0200000000040701</v>
      </c>
    </row>
    <row r="526" spans="1:18" x14ac:dyDescent="0.2">
      <c r="A526" t="s">
        <v>14</v>
      </c>
      <c r="B526">
        <v>20231220</v>
      </c>
      <c r="C526">
        <v>101028.98</v>
      </c>
      <c r="D526">
        <v>101014.94</v>
      </c>
      <c r="E526">
        <v>1239</v>
      </c>
      <c r="F526">
        <v>1241</v>
      </c>
      <c r="G526" t="s">
        <v>537</v>
      </c>
      <c r="H526">
        <v>-14.039999999993499</v>
      </c>
      <c r="I526">
        <v>2</v>
      </c>
      <c r="J526" t="s">
        <v>15</v>
      </c>
      <c r="K526">
        <v>255.44</v>
      </c>
      <c r="L526">
        <v>255.83</v>
      </c>
      <c r="M526">
        <v>255.89</v>
      </c>
      <c r="N526">
        <v>256.01</v>
      </c>
      <c r="O526" s="1">
        <f t="shared" si="32"/>
        <v>1.5267773253992978E-3</v>
      </c>
      <c r="P526" s="1">
        <f t="shared" si="33"/>
        <v>2.345307430715593E-4</v>
      </c>
      <c r="Q526" t="str">
        <f t="shared" si="34"/>
        <v>SELL</v>
      </c>
      <c r="R526">
        <f t="shared" si="35"/>
        <v>-14.039999999993499</v>
      </c>
    </row>
    <row r="527" spans="1:18" x14ac:dyDescent="0.2">
      <c r="A527" t="s">
        <v>14</v>
      </c>
      <c r="B527">
        <v>20231220</v>
      </c>
      <c r="C527">
        <v>101014.94</v>
      </c>
      <c r="D527">
        <v>101003.24</v>
      </c>
      <c r="E527">
        <v>1245</v>
      </c>
      <c r="F527">
        <v>1246</v>
      </c>
      <c r="G527" t="s">
        <v>538</v>
      </c>
      <c r="H527">
        <v>-11.699999999997001</v>
      </c>
      <c r="I527">
        <v>1</v>
      </c>
      <c r="J527" t="s">
        <v>15</v>
      </c>
      <c r="K527">
        <v>255.66</v>
      </c>
      <c r="L527">
        <v>256.05</v>
      </c>
      <c r="M527">
        <v>256.06</v>
      </c>
      <c r="N527">
        <v>256.2</v>
      </c>
      <c r="O527" s="1">
        <f t="shared" si="32"/>
        <v>1.5254635062191824E-3</v>
      </c>
      <c r="P527" s="1">
        <f t="shared" si="33"/>
        <v>3.905487209521219E-5</v>
      </c>
      <c r="Q527" t="str">
        <f t="shared" si="34"/>
        <v>SELL</v>
      </c>
      <c r="R527">
        <f t="shared" si="35"/>
        <v>-11.699999999997001</v>
      </c>
    </row>
    <row r="528" spans="1:18" x14ac:dyDescent="0.2">
      <c r="A528" t="s">
        <v>14</v>
      </c>
      <c r="B528">
        <v>20231220</v>
      </c>
      <c r="C528">
        <v>101003.24</v>
      </c>
      <c r="D528">
        <v>100989.2</v>
      </c>
      <c r="E528">
        <v>1408</v>
      </c>
      <c r="F528">
        <v>1410</v>
      </c>
      <c r="G528" t="s">
        <v>539</v>
      </c>
      <c r="H528">
        <v>-14.040000000008099</v>
      </c>
      <c r="I528">
        <v>2</v>
      </c>
      <c r="J528" t="s">
        <v>15</v>
      </c>
      <c r="K528">
        <v>255.94</v>
      </c>
      <c r="L528">
        <v>256.05</v>
      </c>
      <c r="M528">
        <v>256.89</v>
      </c>
      <c r="N528">
        <v>256.23</v>
      </c>
      <c r="O528" s="1">
        <f t="shared" si="32"/>
        <v>4.2978823161687885E-4</v>
      </c>
      <c r="P528" s="1">
        <f t="shared" si="33"/>
        <v>3.2806092560044853E-3</v>
      </c>
      <c r="Q528" t="str">
        <f t="shared" si="34"/>
        <v>SELL</v>
      </c>
      <c r="R528">
        <f t="shared" si="35"/>
        <v>-14.040000000008099</v>
      </c>
    </row>
    <row r="529" spans="1:18" x14ac:dyDescent="0.2">
      <c r="A529" t="s">
        <v>14</v>
      </c>
      <c r="B529">
        <v>20231220</v>
      </c>
      <c r="C529">
        <v>100989.2</v>
      </c>
      <c r="D529">
        <v>100984.52</v>
      </c>
      <c r="E529">
        <v>1414</v>
      </c>
      <c r="F529">
        <v>1417</v>
      </c>
      <c r="G529" t="s">
        <v>540</v>
      </c>
      <c r="H529">
        <v>-4.6799999999930098</v>
      </c>
      <c r="I529">
        <v>3</v>
      </c>
      <c r="J529" t="s">
        <v>15</v>
      </c>
      <c r="K529">
        <v>255.99</v>
      </c>
      <c r="L529">
        <v>256.35000000000002</v>
      </c>
      <c r="M529">
        <v>256.29000000000002</v>
      </c>
      <c r="N529">
        <v>256.41000000000003</v>
      </c>
      <c r="O529" s="1">
        <f t="shared" si="32"/>
        <v>1.4063049337864619E-3</v>
      </c>
      <c r="P529" s="1">
        <f t="shared" si="33"/>
        <v>-2.3405500292572601E-4</v>
      </c>
      <c r="Q529" t="str">
        <f t="shared" si="34"/>
        <v>SELL</v>
      </c>
      <c r="R529">
        <f t="shared" si="35"/>
        <v>-4.6799999999930098</v>
      </c>
    </row>
    <row r="530" spans="1:18" x14ac:dyDescent="0.2">
      <c r="A530" t="s">
        <v>14</v>
      </c>
      <c r="B530">
        <v>20231220</v>
      </c>
      <c r="C530">
        <v>100984.52</v>
      </c>
      <c r="D530">
        <v>101394.02</v>
      </c>
      <c r="E530">
        <v>1421</v>
      </c>
      <c r="F530">
        <v>1455</v>
      </c>
      <c r="G530" t="s">
        <v>541</v>
      </c>
      <c r="H530">
        <v>409.5</v>
      </c>
      <c r="I530">
        <v>34</v>
      </c>
      <c r="J530" t="s">
        <v>15</v>
      </c>
      <c r="K530">
        <v>255.72</v>
      </c>
      <c r="L530">
        <v>255.57</v>
      </c>
      <c r="M530">
        <v>256.52999999999997</v>
      </c>
      <c r="N530">
        <v>250.32</v>
      </c>
      <c r="O530" s="1">
        <f t="shared" si="32"/>
        <v>-5.8657907085879479E-4</v>
      </c>
      <c r="P530" s="1">
        <f t="shared" si="33"/>
        <v>3.756309425988924E-3</v>
      </c>
      <c r="Q530" t="str">
        <f t="shared" si="34"/>
        <v>IDLE</v>
      </c>
      <c r="R530">
        <f t="shared" si="35"/>
        <v>0</v>
      </c>
    </row>
    <row r="531" spans="1:18" x14ac:dyDescent="0.2">
      <c r="A531" t="s">
        <v>14</v>
      </c>
      <c r="B531">
        <v>20231220</v>
      </c>
      <c r="C531">
        <v>101394.02</v>
      </c>
      <c r="D531">
        <v>101473.22</v>
      </c>
      <c r="E531">
        <v>1459</v>
      </c>
      <c r="F531">
        <v>1506</v>
      </c>
      <c r="G531" t="s">
        <v>542</v>
      </c>
      <c r="H531">
        <v>79.199999999997004</v>
      </c>
      <c r="I531">
        <v>7</v>
      </c>
      <c r="J531" t="s">
        <v>15</v>
      </c>
      <c r="K531">
        <v>249.49</v>
      </c>
      <c r="L531">
        <v>249.41</v>
      </c>
      <c r="M531">
        <v>250.64</v>
      </c>
      <c r="N531">
        <v>248.42</v>
      </c>
      <c r="O531" s="1">
        <f t="shared" si="32"/>
        <v>-3.2065413443427282E-4</v>
      </c>
      <c r="P531" s="1">
        <f t="shared" si="33"/>
        <v>4.9316386672546564E-3</v>
      </c>
      <c r="Q531" t="str">
        <f t="shared" si="34"/>
        <v>IDLE</v>
      </c>
      <c r="R531">
        <f t="shared" si="35"/>
        <v>0</v>
      </c>
    </row>
    <row r="532" spans="1:18" x14ac:dyDescent="0.2">
      <c r="A532" t="s">
        <v>14</v>
      </c>
      <c r="B532">
        <v>20231220</v>
      </c>
      <c r="C532">
        <v>101473.22</v>
      </c>
      <c r="D532">
        <v>101420.42</v>
      </c>
      <c r="E532">
        <v>1510</v>
      </c>
      <c r="F532">
        <v>1511</v>
      </c>
      <c r="G532" t="s">
        <v>543</v>
      </c>
      <c r="H532">
        <v>-52.800000000002903</v>
      </c>
      <c r="I532">
        <v>1</v>
      </c>
      <c r="J532" t="s">
        <v>15</v>
      </c>
      <c r="K532">
        <v>247.54</v>
      </c>
      <c r="L532">
        <v>248.61</v>
      </c>
      <c r="M532">
        <v>248.74</v>
      </c>
      <c r="N532">
        <v>249.27</v>
      </c>
      <c r="O532" s="1">
        <f t="shared" si="32"/>
        <v>4.3225337319221513E-3</v>
      </c>
      <c r="P532" s="1">
        <f t="shared" si="33"/>
        <v>5.2290736494908785E-4</v>
      </c>
      <c r="Q532" t="str">
        <f t="shared" si="34"/>
        <v>SELL</v>
      </c>
      <c r="R532">
        <f t="shared" si="35"/>
        <v>-52.800000000002903</v>
      </c>
    </row>
    <row r="533" spans="1:18" x14ac:dyDescent="0.2">
      <c r="A533" t="s">
        <v>14</v>
      </c>
      <c r="B533">
        <v>20231220</v>
      </c>
      <c r="C533">
        <v>101420.42</v>
      </c>
      <c r="D533">
        <v>101369.22</v>
      </c>
      <c r="E533">
        <v>1528</v>
      </c>
      <c r="F533">
        <v>1530</v>
      </c>
      <c r="G533" t="s">
        <v>544</v>
      </c>
      <c r="H533">
        <v>-51.199999999996997</v>
      </c>
      <c r="I533">
        <v>2</v>
      </c>
      <c r="J533" t="s">
        <v>15</v>
      </c>
      <c r="K533">
        <v>248.7</v>
      </c>
      <c r="L533">
        <v>248.39</v>
      </c>
      <c r="M533">
        <v>250.45</v>
      </c>
      <c r="N533">
        <v>249.03</v>
      </c>
      <c r="O533" s="1">
        <f t="shared" si="32"/>
        <v>-1.2464817048652987E-3</v>
      </c>
      <c r="P533" s="1">
        <f t="shared" si="33"/>
        <v>8.2934095575506461E-3</v>
      </c>
      <c r="Q533" t="str">
        <f t="shared" si="34"/>
        <v>IDLE</v>
      </c>
      <c r="R533">
        <f t="shared" si="35"/>
        <v>0</v>
      </c>
    </row>
    <row r="534" spans="1:18" x14ac:dyDescent="0.2">
      <c r="A534" t="s">
        <v>14</v>
      </c>
      <c r="B534">
        <v>20231220</v>
      </c>
      <c r="C534">
        <v>101369.22</v>
      </c>
      <c r="D534">
        <v>101341.22</v>
      </c>
      <c r="E534">
        <v>1534</v>
      </c>
      <c r="F534">
        <v>1542</v>
      </c>
      <c r="G534" t="s">
        <v>545</v>
      </c>
      <c r="H534">
        <v>-28</v>
      </c>
      <c r="I534">
        <v>8</v>
      </c>
      <c r="J534" t="s">
        <v>15</v>
      </c>
      <c r="K534">
        <v>248.34</v>
      </c>
      <c r="L534">
        <v>248.9</v>
      </c>
      <c r="M534">
        <v>249.33</v>
      </c>
      <c r="N534">
        <v>249.25</v>
      </c>
      <c r="O534" s="1">
        <f t="shared" si="32"/>
        <v>2.2549730208585306E-3</v>
      </c>
      <c r="P534" s="1">
        <f t="shared" si="33"/>
        <v>1.7276014463640799E-3</v>
      </c>
      <c r="Q534" t="str">
        <f t="shared" si="34"/>
        <v>SELL</v>
      </c>
      <c r="R534">
        <f t="shared" si="35"/>
        <v>-28</v>
      </c>
    </row>
    <row r="535" spans="1:18" x14ac:dyDescent="0.2">
      <c r="A535" t="s">
        <v>14</v>
      </c>
      <c r="B535">
        <v>20231220</v>
      </c>
      <c r="C535">
        <v>101341.22</v>
      </c>
      <c r="D535">
        <v>101475.62</v>
      </c>
      <c r="E535">
        <v>1546</v>
      </c>
      <c r="F535">
        <v>1557</v>
      </c>
      <c r="G535" t="s">
        <v>546</v>
      </c>
      <c r="H535">
        <v>134.39999999999401</v>
      </c>
      <c r="I535">
        <v>11</v>
      </c>
      <c r="J535" t="s">
        <v>15</v>
      </c>
      <c r="K535">
        <v>248.74</v>
      </c>
      <c r="L535">
        <v>248.86</v>
      </c>
      <c r="M535">
        <v>249.3</v>
      </c>
      <c r="N535">
        <v>247.18</v>
      </c>
      <c r="O535" s="1">
        <f t="shared" si="32"/>
        <v>4.8243145453086278E-4</v>
      </c>
      <c r="P535" s="1">
        <f t="shared" si="33"/>
        <v>1.7680623643816507E-3</v>
      </c>
      <c r="Q535" t="str">
        <f t="shared" si="34"/>
        <v>SELL</v>
      </c>
      <c r="R535">
        <f t="shared" si="35"/>
        <v>134.39999999999401</v>
      </c>
    </row>
    <row r="536" spans="1:18" x14ac:dyDescent="0.2">
      <c r="A536" t="s">
        <v>14</v>
      </c>
      <c r="B536">
        <v>20231221</v>
      </c>
      <c r="C536">
        <v>101475.62</v>
      </c>
      <c r="D536">
        <v>101412.44</v>
      </c>
      <c r="E536">
        <v>933</v>
      </c>
      <c r="F536">
        <v>936</v>
      </c>
      <c r="G536" t="s">
        <v>547</v>
      </c>
      <c r="H536">
        <v>-63.179999999993001</v>
      </c>
      <c r="I536">
        <v>3</v>
      </c>
      <c r="J536" t="s">
        <v>16</v>
      </c>
      <c r="K536">
        <v>245.37</v>
      </c>
      <c r="L536">
        <v>253.61</v>
      </c>
      <c r="M536">
        <v>253.89</v>
      </c>
      <c r="N536">
        <v>252.8</v>
      </c>
      <c r="O536" s="1">
        <f t="shared" si="32"/>
        <v>3.3581937482169755E-2</v>
      </c>
      <c r="P536" s="1">
        <f t="shared" si="33"/>
        <v>1.104057410985293E-3</v>
      </c>
      <c r="Q536" t="str">
        <f t="shared" si="34"/>
        <v>IDLE</v>
      </c>
      <c r="R536">
        <f t="shared" si="35"/>
        <v>0</v>
      </c>
    </row>
    <row r="537" spans="1:18" x14ac:dyDescent="0.2">
      <c r="A537" t="s">
        <v>14</v>
      </c>
      <c r="B537">
        <v>20231221</v>
      </c>
      <c r="C537">
        <v>101412.44</v>
      </c>
      <c r="D537">
        <v>101425.08</v>
      </c>
      <c r="E537">
        <v>940</v>
      </c>
      <c r="F537">
        <v>947</v>
      </c>
      <c r="G537" t="s">
        <v>548</v>
      </c>
      <c r="H537">
        <v>12.6399999999994</v>
      </c>
      <c r="I537">
        <v>7</v>
      </c>
      <c r="J537" t="s">
        <v>16</v>
      </c>
      <c r="K537">
        <v>251.78</v>
      </c>
      <c r="L537">
        <v>252.08</v>
      </c>
      <c r="M537">
        <v>253.73</v>
      </c>
      <c r="N537">
        <v>252.24</v>
      </c>
      <c r="O537" s="1">
        <f t="shared" si="32"/>
        <v>1.1915164032092473E-3</v>
      </c>
      <c r="P537" s="1">
        <f t="shared" si="33"/>
        <v>6.5455410980639339E-3</v>
      </c>
      <c r="Q537" t="str">
        <f t="shared" si="34"/>
        <v>BUY</v>
      </c>
      <c r="R537">
        <f t="shared" si="35"/>
        <v>12.6399999999994</v>
      </c>
    </row>
    <row r="538" spans="1:18" x14ac:dyDescent="0.2">
      <c r="A538" t="s">
        <v>14</v>
      </c>
      <c r="B538">
        <v>20231221</v>
      </c>
      <c r="C538">
        <v>101425.08</v>
      </c>
      <c r="D538">
        <v>101399.8</v>
      </c>
      <c r="E538">
        <v>951</v>
      </c>
      <c r="F538">
        <v>952</v>
      </c>
      <c r="G538" t="s">
        <v>549</v>
      </c>
      <c r="H538">
        <v>-25.2799999999988</v>
      </c>
      <c r="I538">
        <v>1</v>
      </c>
      <c r="J538" t="s">
        <v>16</v>
      </c>
      <c r="K538">
        <v>251.7</v>
      </c>
      <c r="L538">
        <v>252.13</v>
      </c>
      <c r="M538">
        <v>253.18</v>
      </c>
      <c r="N538">
        <v>251.81</v>
      </c>
      <c r="O538" s="1">
        <f t="shared" si="32"/>
        <v>1.7083829956296981E-3</v>
      </c>
      <c r="P538" s="1">
        <f t="shared" si="33"/>
        <v>4.1645183040495137E-3</v>
      </c>
      <c r="Q538" t="str">
        <f t="shared" si="34"/>
        <v>IDLE</v>
      </c>
      <c r="R538">
        <f t="shared" si="35"/>
        <v>0</v>
      </c>
    </row>
    <row r="539" spans="1:18" x14ac:dyDescent="0.2">
      <c r="A539" t="s">
        <v>14</v>
      </c>
      <c r="B539">
        <v>20231221</v>
      </c>
      <c r="C539">
        <v>101399.8</v>
      </c>
      <c r="D539">
        <v>101384.79</v>
      </c>
      <c r="E539">
        <v>1132</v>
      </c>
      <c r="F539">
        <v>1133</v>
      </c>
      <c r="G539" t="s">
        <v>550</v>
      </c>
      <c r="H539">
        <v>-15.010000000009301</v>
      </c>
      <c r="I539">
        <v>1</v>
      </c>
      <c r="J539" t="s">
        <v>16</v>
      </c>
      <c r="K539">
        <v>252.31</v>
      </c>
      <c r="L539">
        <v>252.78</v>
      </c>
      <c r="M539">
        <v>253.02</v>
      </c>
      <c r="N539">
        <v>252.59</v>
      </c>
      <c r="O539" s="1">
        <f t="shared" si="32"/>
        <v>1.8627878403552067E-3</v>
      </c>
      <c r="P539" s="1">
        <f t="shared" si="33"/>
        <v>9.4944220270587465E-4</v>
      </c>
      <c r="Q539" t="str">
        <f t="shared" si="34"/>
        <v>IDLE</v>
      </c>
      <c r="R539">
        <f t="shared" si="35"/>
        <v>0</v>
      </c>
    </row>
    <row r="540" spans="1:18" x14ac:dyDescent="0.2">
      <c r="A540" t="s">
        <v>14</v>
      </c>
      <c r="B540">
        <v>20231221</v>
      </c>
      <c r="C540">
        <v>101384.79</v>
      </c>
      <c r="D540">
        <v>101384.01</v>
      </c>
      <c r="E540">
        <v>1137</v>
      </c>
      <c r="F540">
        <v>1139</v>
      </c>
      <c r="G540" t="s">
        <v>551</v>
      </c>
      <c r="H540">
        <v>-0.77999999999883496</v>
      </c>
      <c r="I540">
        <v>2</v>
      </c>
      <c r="J540" t="s">
        <v>16</v>
      </c>
      <c r="K540">
        <v>252.54</v>
      </c>
      <c r="L540">
        <v>253.3</v>
      </c>
      <c r="M540">
        <v>253.42</v>
      </c>
      <c r="N540">
        <v>253.29</v>
      </c>
      <c r="O540" s="1">
        <f t="shared" si="32"/>
        <v>3.0094242496239154E-3</v>
      </c>
      <c r="P540" s="1">
        <f t="shared" si="33"/>
        <v>4.7374654559795282E-4</v>
      </c>
      <c r="Q540" t="str">
        <f t="shared" si="34"/>
        <v>IDLE</v>
      </c>
      <c r="R540">
        <f t="shared" si="35"/>
        <v>0</v>
      </c>
    </row>
    <row r="541" spans="1:18" x14ac:dyDescent="0.2">
      <c r="A541" t="s">
        <v>14</v>
      </c>
      <c r="B541">
        <v>20231221</v>
      </c>
      <c r="C541">
        <v>101384.01</v>
      </c>
      <c r="D541">
        <v>101373.74</v>
      </c>
      <c r="E541">
        <v>1143</v>
      </c>
      <c r="F541">
        <v>1152</v>
      </c>
      <c r="G541" t="s">
        <v>552</v>
      </c>
      <c r="H541">
        <v>-10.2699999999895</v>
      </c>
      <c r="I541">
        <v>9</v>
      </c>
      <c r="J541" t="s">
        <v>16</v>
      </c>
      <c r="K541">
        <v>252.99</v>
      </c>
      <c r="L541">
        <v>253.09</v>
      </c>
      <c r="M541">
        <v>253.59</v>
      </c>
      <c r="N541">
        <v>252.96</v>
      </c>
      <c r="O541" s="1">
        <f t="shared" si="32"/>
        <v>3.9527254041660242E-4</v>
      </c>
      <c r="P541" s="1">
        <f t="shared" si="33"/>
        <v>1.9755818088427191E-3</v>
      </c>
      <c r="Q541" t="str">
        <f t="shared" si="34"/>
        <v>IDLE</v>
      </c>
      <c r="R541">
        <f t="shared" si="35"/>
        <v>0</v>
      </c>
    </row>
    <row r="542" spans="1:18" x14ac:dyDescent="0.2">
      <c r="A542" t="s">
        <v>14</v>
      </c>
      <c r="B542">
        <v>20231221</v>
      </c>
      <c r="C542">
        <v>101373.74</v>
      </c>
      <c r="D542">
        <v>101458.27</v>
      </c>
      <c r="E542">
        <v>1348</v>
      </c>
      <c r="F542">
        <v>1457</v>
      </c>
      <c r="G542" t="s">
        <v>553</v>
      </c>
      <c r="H542">
        <v>84.529999999998793</v>
      </c>
      <c r="I542">
        <v>69</v>
      </c>
      <c r="J542" t="s">
        <v>16</v>
      </c>
      <c r="K542">
        <v>251.39</v>
      </c>
      <c r="L542">
        <v>251.77</v>
      </c>
      <c r="M542">
        <v>251.92</v>
      </c>
      <c r="N542">
        <v>252.84</v>
      </c>
      <c r="O542" s="1">
        <f t="shared" si="32"/>
        <v>1.5115955288595995E-3</v>
      </c>
      <c r="P542" s="1">
        <f t="shared" si="33"/>
        <v>5.9578186440001346E-4</v>
      </c>
      <c r="Q542" t="str">
        <f t="shared" si="34"/>
        <v>IDLE</v>
      </c>
      <c r="R542">
        <f t="shared" si="35"/>
        <v>0</v>
      </c>
    </row>
    <row r="543" spans="1:18" x14ac:dyDescent="0.2">
      <c r="A543" t="s">
        <v>14</v>
      </c>
      <c r="B543">
        <v>20231221</v>
      </c>
      <c r="C543">
        <v>101458.27</v>
      </c>
      <c r="D543">
        <v>101473.87</v>
      </c>
      <c r="E543">
        <v>1506</v>
      </c>
      <c r="F543">
        <v>1544</v>
      </c>
      <c r="G543" t="s">
        <v>554</v>
      </c>
      <c r="H543">
        <v>15.5999999999912</v>
      </c>
      <c r="I543">
        <v>38</v>
      </c>
      <c r="J543" t="s">
        <v>16</v>
      </c>
      <c r="K543">
        <v>252.94</v>
      </c>
      <c r="L543">
        <v>253.63</v>
      </c>
      <c r="M543">
        <v>253.84</v>
      </c>
      <c r="N543">
        <v>253.83</v>
      </c>
      <c r="O543" s="1">
        <f t="shared" si="32"/>
        <v>2.7279196647427284E-3</v>
      </c>
      <c r="P543" s="1">
        <f t="shared" si="33"/>
        <v>8.2797776288301428E-4</v>
      </c>
      <c r="Q543" t="str">
        <f t="shared" si="34"/>
        <v>IDLE</v>
      </c>
      <c r="R543">
        <f t="shared" si="35"/>
        <v>0</v>
      </c>
    </row>
    <row r="544" spans="1:18" x14ac:dyDescent="0.2">
      <c r="A544" t="s">
        <v>14</v>
      </c>
      <c r="B544">
        <v>20231222</v>
      </c>
      <c r="C544">
        <v>101473.87</v>
      </c>
      <c r="D544">
        <v>101387.63</v>
      </c>
      <c r="E544">
        <v>933</v>
      </c>
      <c r="F544">
        <v>934</v>
      </c>
      <c r="G544" t="s">
        <v>555</v>
      </c>
      <c r="H544">
        <v>-86.239999999990602</v>
      </c>
      <c r="I544">
        <v>1</v>
      </c>
      <c r="J544" t="s">
        <v>16</v>
      </c>
      <c r="K544">
        <v>253.61</v>
      </c>
      <c r="L544">
        <v>257.44</v>
      </c>
      <c r="M544">
        <v>257.86</v>
      </c>
      <c r="N544">
        <v>256.32</v>
      </c>
      <c r="O544" s="1">
        <f t="shared" si="32"/>
        <v>1.5101928157406963E-2</v>
      </c>
      <c r="P544" s="1">
        <f t="shared" si="33"/>
        <v>1.631448104412847E-3</v>
      </c>
      <c r="Q544" t="str">
        <f t="shared" si="34"/>
        <v>IDLE</v>
      </c>
      <c r="R544">
        <f t="shared" si="35"/>
        <v>0</v>
      </c>
    </row>
    <row r="545" spans="1:18" x14ac:dyDescent="0.2">
      <c r="A545" t="s">
        <v>14</v>
      </c>
      <c r="B545">
        <v>20231222</v>
      </c>
      <c r="C545">
        <v>101387.63</v>
      </c>
      <c r="D545">
        <v>101366.07</v>
      </c>
      <c r="E545">
        <v>938</v>
      </c>
      <c r="F545">
        <v>945</v>
      </c>
      <c r="G545" t="s">
        <v>556</v>
      </c>
      <c r="H545">
        <v>-21.559999999997601</v>
      </c>
      <c r="I545">
        <v>7</v>
      </c>
      <c r="J545" t="s">
        <v>16</v>
      </c>
      <c r="K545">
        <v>255.4</v>
      </c>
      <c r="L545">
        <v>257.20999999999998</v>
      </c>
      <c r="M545">
        <v>258.02999999999997</v>
      </c>
      <c r="N545">
        <v>256.93</v>
      </c>
      <c r="O545" s="1">
        <f t="shared" si="32"/>
        <v>7.0869224745495618E-3</v>
      </c>
      <c r="P545" s="1">
        <f t="shared" si="33"/>
        <v>3.1880564519264354E-3</v>
      </c>
      <c r="Q545" t="str">
        <f t="shared" si="34"/>
        <v>IDLE</v>
      </c>
      <c r="R545">
        <f t="shared" si="35"/>
        <v>0</v>
      </c>
    </row>
    <row r="546" spans="1:18" x14ac:dyDescent="0.2">
      <c r="A546" t="s">
        <v>14</v>
      </c>
      <c r="B546">
        <v>20231222</v>
      </c>
      <c r="C546">
        <v>101366.07</v>
      </c>
      <c r="D546">
        <v>101340.66</v>
      </c>
      <c r="E546">
        <v>949</v>
      </c>
      <c r="F546">
        <v>952</v>
      </c>
      <c r="G546" t="s">
        <v>557</v>
      </c>
      <c r="H546">
        <v>-25.4100000000034</v>
      </c>
      <c r="I546">
        <v>3</v>
      </c>
      <c r="J546" t="s">
        <v>16</v>
      </c>
      <c r="K546">
        <v>256.98</v>
      </c>
      <c r="L546">
        <v>257.39999999999998</v>
      </c>
      <c r="M546">
        <v>257.89</v>
      </c>
      <c r="N546">
        <v>257.07</v>
      </c>
      <c r="O546" s="1">
        <f t="shared" si="32"/>
        <v>1.6343684333408603E-3</v>
      </c>
      <c r="P546" s="1">
        <f t="shared" si="33"/>
        <v>1.9036519036519373E-3</v>
      </c>
      <c r="Q546" t="str">
        <f t="shared" si="34"/>
        <v>IDLE</v>
      </c>
      <c r="R546">
        <f t="shared" si="35"/>
        <v>0</v>
      </c>
    </row>
    <row r="547" spans="1:18" x14ac:dyDescent="0.2">
      <c r="A547" t="s">
        <v>14</v>
      </c>
      <c r="B547">
        <v>20231222</v>
      </c>
      <c r="C547">
        <v>101340.66</v>
      </c>
      <c r="D547">
        <v>101320.64</v>
      </c>
      <c r="E547">
        <v>956</v>
      </c>
      <c r="F547">
        <v>957</v>
      </c>
      <c r="G547" t="s">
        <v>558</v>
      </c>
      <c r="H547">
        <v>-20.020000000004</v>
      </c>
      <c r="I547">
        <v>1</v>
      </c>
      <c r="J547" t="s">
        <v>16</v>
      </c>
      <c r="K547">
        <v>256.33999999999997</v>
      </c>
      <c r="L547">
        <v>256.54000000000002</v>
      </c>
      <c r="M547">
        <v>257.61</v>
      </c>
      <c r="N547">
        <v>256.27999999999997</v>
      </c>
      <c r="O547" s="1">
        <f t="shared" si="32"/>
        <v>7.8021377857551144E-4</v>
      </c>
      <c r="P547" s="1">
        <f t="shared" si="33"/>
        <v>4.1708895298977477E-3</v>
      </c>
      <c r="Q547" t="str">
        <f t="shared" si="34"/>
        <v>IDLE</v>
      </c>
      <c r="R547">
        <f t="shared" si="35"/>
        <v>0</v>
      </c>
    </row>
    <row r="548" spans="1:18" x14ac:dyDescent="0.2">
      <c r="A548" t="s">
        <v>14</v>
      </c>
      <c r="B548">
        <v>20231222</v>
      </c>
      <c r="C548">
        <v>101320.64</v>
      </c>
      <c r="D548">
        <v>101319.87</v>
      </c>
      <c r="E548">
        <v>1001</v>
      </c>
      <c r="F548">
        <v>1005</v>
      </c>
      <c r="G548" t="s">
        <v>559</v>
      </c>
      <c r="H548">
        <v>-0.77000000000407398</v>
      </c>
      <c r="I548">
        <v>4</v>
      </c>
      <c r="J548" t="s">
        <v>16</v>
      </c>
      <c r="K548">
        <v>256.14</v>
      </c>
      <c r="L548">
        <v>256.8</v>
      </c>
      <c r="M548">
        <v>256.95</v>
      </c>
      <c r="N548">
        <v>256.79000000000002</v>
      </c>
      <c r="O548" s="1">
        <f t="shared" si="32"/>
        <v>2.576715858515044E-3</v>
      </c>
      <c r="P548" s="1">
        <f t="shared" si="33"/>
        <v>5.8411214953268953E-4</v>
      </c>
      <c r="Q548" t="str">
        <f t="shared" si="34"/>
        <v>IDLE</v>
      </c>
      <c r="R548">
        <f t="shared" si="35"/>
        <v>0</v>
      </c>
    </row>
    <row r="549" spans="1:18" x14ac:dyDescent="0.2">
      <c r="A549" t="s">
        <v>14</v>
      </c>
      <c r="B549">
        <v>20231222</v>
      </c>
      <c r="C549">
        <v>101319.87</v>
      </c>
      <c r="D549">
        <v>101301.39</v>
      </c>
      <c r="E549">
        <v>1009</v>
      </c>
      <c r="F549">
        <v>1013</v>
      </c>
      <c r="G549" t="s">
        <v>560</v>
      </c>
      <c r="H549">
        <v>-18.479999999995901</v>
      </c>
      <c r="I549">
        <v>4</v>
      </c>
      <c r="J549" t="s">
        <v>16</v>
      </c>
      <c r="K549">
        <v>256.36</v>
      </c>
      <c r="L549">
        <v>256.64</v>
      </c>
      <c r="M549">
        <v>257.41000000000003</v>
      </c>
      <c r="N549">
        <v>256.39999999999998</v>
      </c>
      <c r="O549" s="1">
        <f t="shared" si="32"/>
        <v>1.0922140739584307E-3</v>
      </c>
      <c r="P549" s="1">
        <f t="shared" si="33"/>
        <v>3.0003117206984786E-3</v>
      </c>
      <c r="Q549" t="str">
        <f t="shared" si="34"/>
        <v>IDLE</v>
      </c>
      <c r="R549">
        <f t="shared" si="35"/>
        <v>0</v>
      </c>
    </row>
    <row r="550" spans="1:18" x14ac:dyDescent="0.2">
      <c r="A550" t="s">
        <v>14</v>
      </c>
      <c r="B550">
        <v>20231222</v>
      </c>
      <c r="C550">
        <v>101301.39</v>
      </c>
      <c r="D550">
        <v>101282.67</v>
      </c>
      <c r="E550">
        <v>1017</v>
      </c>
      <c r="F550">
        <v>1019</v>
      </c>
      <c r="G550" t="s">
        <v>561</v>
      </c>
      <c r="H550">
        <v>-18.7200000000011</v>
      </c>
      <c r="I550">
        <v>2</v>
      </c>
      <c r="J550" t="s">
        <v>16</v>
      </c>
      <c r="K550">
        <v>256.17</v>
      </c>
      <c r="L550">
        <v>256.2</v>
      </c>
      <c r="M550">
        <v>256.97000000000003</v>
      </c>
      <c r="N550">
        <v>255.96</v>
      </c>
      <c r="O550" s="1">
        <f t="shared" si="32"/>
        <v>1.1710973181866535E-4</v>
      </c>
      <c r="P550" s="1">
        <f t="shared" si="33"/>
        <v>3.0054644808745756E-3</v>
      </c>
      <c r="Q550" t="str">
        <f t="shared" si="34"/>
        <v>IDLE</v>
      </c>
      <c r="R550">
        <f t="shared" si="35"/>
        <v>0</v>
      </c>
    </row>
    <row r="551" spans="1:18" x14ac:dyDescent="0.2">
      <c r="A551" t="s">
        <v>14</v>
      </c>
      <c r="B551">
        <v>20231222</v>
      </c>
      <c r="C551">
        <v>101282.67</v>
      </c>
      <c r="D551">
        <v>101354.43</v>
      </c>
      <c r="E551">
        <v>1419</v>
      </c>
      <c r="F551">
        <v>1436</v>
      </c>
      <c r="G551" t="s">
        <v>562</v>
      </c>
      <c r="H551">
        <v>71.759999999994704</v>
      </c>
      <c r="I551">
        <v>17</v>
      </c>
      <c r="J551" t="s">
        <v>15</v>
      </c>
      <c r="K551">
        <v>253.14</v>
      </c>
      <c r="L551">
        <v>253.22</v>
      </c>
      <c r="M551">
        <v>253.98</v>
      </c>
      <c r="N551">
        <v>252.3</v>
      </c>
      <c r="O551" s="1">
        <f t="shared" si="32"/>
        <v>3.1603065497365357E-4</v>
      </c>
      <c r="P551" s="1">
        <f t="shared" si="33"/>
        <v>3.0013427059474296E-3</v>
      </c>
      <c r="Q551" t="str">
        <f t="shared" si="34"/>
        <v>SELL</v>
      </c>
      <c r="R551">
        <f t="shared" si="35"/>
        <v>71.759999999994704</v>
      </c>
    </row>
    <row r="552" spans="1:18" x14ac:dyDescent="0.2">
      <c r="A552" t="s">
        <v>14</v>
      </c>
      <c r="B552">
        <v>20231222</v>
      </c>
      <c r="C552">
        <v>101354.43</v>
      </c>
      <c r="D552">
        <v>101331.52</v>
      </c>
      <c r="E552">
        <v>1440</v>
      </c>
      <c r="F552">
        <v>1442</v>
      </c>
      <c r="G552" t="s">
        <v>563</v>
      </c>
      <c r="H552">
        <v>-22.909999999988901</v>
      </c>
      <c r="I552">
        <v>2</v>
      </c>
      <c r="J552" t="s">
        <v>15</v>
      </c>
      <c r="K552">
        <v>251.82</v>
      </c>
      <c r="L552">
        <v>252.31</v>
      </c>
      <c r="M552">
        <v>252.61</v>
      </c>
      <c r="N552">
        <v>252.6</v>
      </c>
      <c r="O552" s="1">
        <f t="shared" si="32"/>
        <v>1.9458343261060662E-3</v>
      </c>
      <c r="P552" s="1">
        <f t="shared" si="33"/>
        <v>1.1890135151202408E-3</v>
      </c>
      <c r="Q552" t="str">
        <f t="shared" si="34"/>
        <v>SELL</v>
      </c>
      <c r="R552">
        <f t="shared" si="35"/>
        <v>-22.909999999988901</v>
      </c>
    </row>
    <row r="553" spans="1:18" x14ac:dyDescent="0.2">
      <c r="A553" t="s">
        <v>14</v>
      </c>
      <c r="B553">
        <v>20231222</v>
      </c>
      <c r="C553">
        <v>101331.52</v>
      </c>
      <c r="D553">
        <v>101306.24000000001</v>
      </c>
      <c r="E553">
        <v>1446</v>
      </c>
      <c r="F553">
        <v>1452</v>
      </c>
      <c r="G553" t="s">
        <v>564</v>
      </c>
      <c r="H553">
        <v>-25.2799999999988</v>
      </c>
      <c r="I553">
        <v>6</v>
      </c>
      <c r="J553" t="s">
        <v>15</v>
      </c>
      <c r="K553">
        <v>252.26</v>
      </c>
      <c r="L553">
        <v>252.63</v>
      </c>
      <c r="M553">
        <v>252.72</v>
      </c>
      <c r="N553">
        <v>252.95</v>
      </c>
      <c r="O553" s="1">
        <f t="shared" si="32"/>
        <v>1.4667406643940062E-3</v>
      </c>
      <c r="P553" s="1">
        <f t="shared" si="33"/>
        <v>3.5625222657653666E-4</v>
      </c>
      <c r="Q553" t="str">
        <f t="shared" si="34"/>
        <v>SELL</v>
      </c>
      <c r="R553">
        <f t="shared" si="35"/>
        <v>-25.2799999999988</v>
      </c>
    </row>
    <row r="554" spans="1:18" x14ac:dyDescent="0.2">
      <c r="A554" t="s">
        <v>14</v>
      </c>
      <c r="B554">
        <v>20231222</v>
      </c>
      <c r="C554">
        <v>101306.24000000001</v>
      </c>
      <c r="D554">
        <v>101314.93</v>
      </c>
      <c r="E554">
        <v>1543</v>
      </c>
      <c r="F554">
        <v>1557</v>
      </c>
      <c r="G554" t="s">
        <v>565</v>
      </c>
      <c r="H554">
        <v>8.6899999999877693</v>
      </c>
      <c r="I554">
        <v>14</v>
      </c>
      <c r="J554" t="s">
        <v>15</v>
      </c>
      <c r="K554">
        <v>252.6</v>
      </c>
      <c r="L554">
        <v>252.69</v>
      </c>
      <c r="M554">
        <v>253.12</v>
      </c>
      <c r="N554">
        <v>252.58</v>
      </c>
      <c r="O554" s="1">
        <f t="shared" si="32"/>
        <v>3.5629453681718104E-4</v>
      </c>
      <c r="P554" s="1">
        <f t="shared" si="33"/>
        <v>1.7016898175630235E-3</v>
      </c>
      <c r="Q554" t="str">
        <f t="shared" si="34"/>
        <v>SELL</v>
      </c>
      <c r="R554">
        <f t="shared" si="35"/>
        <v>8.6899999999877693</v>
      </c>
    </row>
    <row r="555" spans="1:18" x14ac:dyDescent="0.2">
      <c r="A555" t="s">
        <v>14</v>
      </c>
      <c r="B555">
        <v>20231226</v>
      </c>
      <c r="C555">
        <v>101314.93</v>
      </c>
      <c r="D555">
        <v>101275.15</v>
      </c>
      <c r="E555">
        <v>933</v>
      </c>
      <c r="F555">
        <v>934</v>
      </c>
      <c r="G555" t="s">
        <v>566</v>
      </c>
      <c r="H555">
        <v>-39.7799999999988</v>
      </c>
      <c r="I555">
        <v>1</v>
      </c>
      <c r="J555" t="s">
        <v>16</v>
      </c>
      <c r="K555">
        <v>251.75</v>
      </c>
      <c r="L555">
        <v>254.67</v>
      </c>
      <c r="M555">
        <v>255.21</v>
      </c>
      <c r="N555">
        <v>254.16</v>
      </c>
      <c r="O555" s="1">
        <f t="shared" si="32"/>
        <v>1.1598808341608757E-2</v>
      </c>
      <c r="P555" s="1">
        <f t="shared" si="33"/>
        <v>2.1203910943574655E-3</v>
      </c>
      <c r="Q555" t="str">
        <f t="shared" si="34"/>
        <v>IDLE</v>
      </c>
      <c r="R555">
        <f t="shared" si="35"/>
        <v>0</v>
      </c>
    </row>
    <row r="556" spans="1:18" x14ac:dyDescent="0.2">
      <c r="A556" t="s">
        <v>14</v>
      </c>
      <c r="B556">
        <v>20231226</v>
      </c>
      <c r="C556">
        <v>101275.15</v>
      </c>
      <c r="D556">
        <v>101237.71</v>
      </c>
      <c r="E556">
        <v>938</v>
      </c>
      <c r="F556">
        <v>939</v>
      </c>
      <c r="G556" t="s">
        <v>567</v>
      </c>
      <c r="H556">
        <v>-37.439999999987698</v>
      </c>
      <c r="I556">
        <v>1</v>
      </c>
      <c r="J556" t="s">
        <v>16</v>
      </c>
      <c r="K556">
        <v>253.18</v>
      </c>
      <c r="L556">
        <v>253.84</v>
      </c>
      <c r="M556">
        <v>255.25</v>
      </c>
      <c r="N556">
        <v>253.36</v>
      </c>
      <c r="O556" s="1">
        <f t="shared" si="32"/>
        <v>2.6068409827000316E-3</v>
      </c>
      <c r="P556" s="1">
        <f t="shared" si="33"/>
        <v>5.5546801134573887E-3</v>
      </c>
      <c r="Q556" t="str">
        <f t="shared" si="34"/>
        <v>BUY</v>
      </c>
      <c r="R556">
        <f t="shared" si="35"/>
        <v>-37.439999999987698</v>
      </c>
    </row>
    <row r="557" spans="1:18" x14ac:dyDescent="0.2">
      <c r="A557" t="s">
        <v>14</v>
      </c>
      <c r="B557">
        <v>20231226</v>
      </c>
      <c r="C557">
        <v>101237.71</v>
      </c>
      <c r="D557">
        <v>101225.23</v>
      </c>
      <c r="E557">
        <v>1000</v>
      </c>
      <c r="F557">
        <v>1006</v>
      </c>
      <c r="G557" t="s">
        <v>568</v>
      </c>
      <c r="H557">
        <v>-12.480000000010399</v>
      </c>
      <c r="I557">
        <v>6</v>
      </c>
      <c r="J557" t="s">
        <v>16</v>
      </c>
      <c r="K557">
        <v>254.07</v>
      </c>
      <c r="L557">
        <v>254.63</v>
      </c>
      <c r="M557">
        <v>254.83</v>
      </c>
      <c r="N557">
        <v>254.47</v>
      </c>
      <c r="O557" s="1">
        <f t="shared" si="32"/>
        <v>2.2041169756366052E-3</v>
      </c>
      <c r="P557" s="1">
        <f t="shared" si="33"/>
        <v>7.8545340297697663E-4</v>
      </c>
      <c r="Q557" t="str">
        <f t="shared" si="34"/>
        <v>IDLE</v>
      </c>
      <c r="R557">
        <f t="shared" si="35"/>
        <v>0</v>
      </c>
    </row>
    <row r="558" spans="1:18" x14ac:dyDescent="0.2">
      <c r="A558" t="s">
        <v>14</v>
      </c>
      <c r="B558">
        <v>20231226</v>
      </c>
      <c r="C558">
        <v>101225.23</v>
      </c>
      <c r="D558">
        <v>101256.43</v>
      </c>
      <c r="E558">
        <v>1010</v>
      </c>
      <c r="F558">
        <v>1029</v>
      </c>
      <c r="G558" t="s">
        <v>569</v>
      </c>
      <c r="H558">
        <v>31.199999999997001</v>
      </c>
      <c r="I558">
        <v>19</v>
      </c>
      <c r="J558" t="s">
        <v>16</v>
      </c>
      <c r="K558">
        <v>254.29</v>
      </c>
      <c r="L558">
        <v>255.77</v>
      </c>
      <c r="M558">
        <v>255.67</v>
      </c>
      <c r="N558">
        <v>256.17</v>
      </c>
      <c r="O558" s="1">
        <f t="shared" si="32"/>
        <v>5.820126627079425E-3</v>
      </c>
      <c r="P558" s="1">
        <f t="shared" si="33"/>
        <v>-3.9097626774065031E-4</v>
      </c>
      <c r="Q558" t="str">
        <f t="shared" si="34"/>
        <v>IDLE</v>
      </c>
      <c r="R558">
        <f t="shared" si="35"/>
        <v>0</v>
      </c>
    </row>
    <row r="559" spans="1:18" x14ac:dyDescent="0.2">
      <c r="A559" t="s">
        <v>14</v>
      </c>
      <c r="B559">
        <v>20231226</v>
      </c>
      <c r="C559">
        <v>101256.43</v>
      </c>
      <c r="D559">
        <v>101231.79</v>
      </c>
      <c r="E559">
        <v>1033</v>
      </c>
      <c r="F559">
        <v>1038</v>
      </c>
      <c r="G559" t="s">
        <v>570</v>
      </c>
      <c r="H559">
        <v>-24.6399999999994</v>
      </c>
      <c r="I559">
        <v>5</v>
      </c>
      <c r="J559" t="s">
        <v>16</v>
      </c>
      <c r="K559">
        <v>256.23</v>
      </c>
      <c r="L559">
        <v>256.95999999999998</v>
      </c>
      <c r="M559">
        <v>257.02999999999997</v>
      </c>
      <c r="N559">
        <v>256.64</v>
      </c>
      <c r="O559" s="1">
        <f t="shared" si="32"/>
        <v>2.8490028490026909E-3</v>
      </c>
      <c r="P559" s="1">
        <f t="shared" si="33"/>
        <v>2.724159402240911E-4</v>
      </c>
      <c r="Q559" t="str">
        <f t="shared" si="34"/>
        <v>IDLE</v>
      </c>
      <c r="R559">
        <f t="shared" si="35"/>
        <v>0</v>
      </c>
    </row>
    <row r="560" spans="1:18" x14ac:dyDescent="0.2">
      <c r="A560" t="s">
        <v>14</v>
      </c>
      <c r="B560">
        <v>20231226</v>
      </c>
      <c r="C560">
        <v>101231.79</v>
      </c>
      <c r="D560">
        <v>101214.63</v>
      </c>
      <c r="E560">
        <v>1042</v>
      </c>
      <c r="F560">
        <v>1043</v>
      </c>
      <c r="G560" t="s">
        <v>571</v>
      </c>
      <c r="H560">
        <v>-17.159999999988901</v>
      </c>
      <c r="I560">
        <v>1</v>
      </c>
      <c r="J560" t="s">
        <v>16</v>
      </c>
      <c r="K560">
        <v>256.35000000000002</v>
      </c>
      <c r="L560">
        <v>256.27999999999997</v>
      </c>
      <c r="M560">
        <v>257.01</v>
      </c>
      <c r="N560">
        <v>256.06</v>
      </c>
      <c r="O560" s="1">
        <f t="shared" si="32"/>
        <v>-2.7306417008021722E-4</v>
      </c>
      <c r="P560" s="1">
        <f t="shared" si="33"/>
        <v>2.8484470110816673E-3</v>
      </c>
      <c r="Q560" t="str">
        <f t="shared" si="34"/>
        <v>IDLE</v>
      </c>
      <c r="R560">
        <f t="shared" si="35"/>
        <v>0</v>
      </c>
    </row>
    <row r="561" spans="1:18" x14ac:dyDescent="0.2">
      <c r="A561" t="s">
        <v>14</v>
      </c>
      <c r="B561">
        <v>20231226</v>
      </c>
      <c r="C561">
        <v>101214.63</v>
      </c>
      <c r="D561">
        <v>101194.61</v>
      </c>
      <c r="E561">
        <v>1106</v>
      </c>
      <c r="F561">
        <v>1126</v>
      </c>
      <c r="G561" t="s">
        <v>572</v>
      </c>
      <c r="H561">
        <v>-20.020000000004</v>
      </c>
      <c r="I561">
        <v>20</v>
      </c>
      <c r="J561" t="s">
        <v>16</v>
      </c>
      <c r="K561">
        <v>255.84</v>
      </c>
      <c r="L561">
        <v>256.75</v>
      </c>
      <c r="M561">
        <v>256.51</v>
      </c>
      <c r="N561">
        <v>256.49</v>
      </c>
      <c r="O561" s="1">
        <f t="shared" si="32"/>
        <v>3.5569105691057867E-3</v>
      </c>
      <c r="P561" s="1">
        <f t="shared" si="33"/>
        <v>-9.3476144109061465E-4</v>
      </c>
      <c r="Q561" t="str">
        <f t="shared" si="34"/>
        <v>IDLE</v>
      </c>
      <c r="R561">
        <f t="shared" si="35"/>
        <v>0</v>
      </c>
    </row>
    <row r="562" spans="1:18" x14ac:dyDescent="0.2">
      <c r="A562" t="s">
        <v>14</v>
      </c>
      <c r="B562">
        <v>20231226</v>
      </c>
      <c r="C562">
        <v>101194.61</v>
      </c>
      <c r="D562">
        <v>101185.37</v>
      </c>
      <c r="E562">
        <v>1152</v>
      </c>
      <c r="F562">
        <v>1200</v>
      </c>
      <c r="G562" t="s">
        <v>573</v>
      </c>
      <c r="H562">
        <v>-9.2400000000052298</v>
      </c>
      <c r="I562">
        <v>8</v>
      </c>
      <c r="J562" t="s">
        <v>16</v>
      </c>
      <c r="K562">
        <v>256.14</v>
      </c>
      <c r="L562">
        <v>257.08</v>
      </c>
      <c r="M562">
        <v>257.16000000000003</v>
      </c>
      <c r="N562">
        <v>256.95999999999998</v>
      </c>
      <c r="O562" s="1">
        <f t="shared" si="32"/>
        <v>3.6698680409150697E-3</v>
      </c>
      <c r="P562" s="1">
        <f t="shared" si="33"/>
        <v>3.1118717908840132E-4</v>
      </c>
      <c r="Q562" t="str">
        <f t="shared" si="34"/>
        <v>IDLE</v>
      </c>
      <c r="R562">
        <f t="shared" si="35"/>
        <v>0</v>
      </c>
    </row>
    <row r="563" spans="1:18" x14ac:dyDescent="0.2">
      <c r="A563" t="s">
        <v>14</v>
      </c>
      <c r="B563">
        <v>20231226</v>
      </c>
      <c r="C563">
        <v>101185.37</v>
      </c>
      <c r="D563">
        <v>101167.66</v>
      </c>
      <c r="E563">
        <v>1204</v>
      </c>
      <c r="F563">
        <v>1206</v>
      </c>
      <c r="G563" t="s">
        <v>574</v>
      </c>
      <c r="H563">
        <v>-17.709999999991801</v>
      </c>
      <c r="I563">
        <v>2</v>
      </c>
      <c r="J563" t="s">
        <v>16</v>
      </c>
      <c r="K563">
        <v>256.81</v>
      </c>
      <c r="L563">
        <v>256.89</v>
      </c>
      <c r="M563">
        <v>257.23</v>
      </c>
      <c r="N563">
        <v>256.66000000000003</v>
      </c>
      <c r="O563" s="1">
        <f t="shared" si="32"/>
        <v>3.1151434912968234E-4</v>
      </c>
      <c r="P563" s="1">
        <f t="shared" si="33"/>
        <v>1.3235236871813605E-3</v>
      </c>
      <c r="Q563" t="str">
        <f t="shared" si="34"/>
        <v>IDLE</v>
      </c>
      <c r="R563">
        <f t="shared" si="35"/>
        <v>0</v>
      </c>
    </row>
    <row r="564" spans="1:18" x14ac:dyDescent="0.2">
      <c r="A564" t="s">
        <v>14</v>
      </c>
      <c r="B564">
        <v>20231226</v>
      </c>
      <c r="C564">
        <v>101167.66</v>
      </c>
      <c r="D564">
        <v>101176.9</v>
      </c>
      <c r="E564">
        <v>1210</v>
      </c>
      <c r="F564">
        <v>1243</v>
      </c>
      <c r="G564" t="s">
        <v>575</v>
      </c>
      <c r="H564">
        <v>9.2399999999906797</v>
      </c>
      <c r="I564">
        <v>33</v>
      </c>
      <c r="J564" t="s">
        <v>16</v>
      </c>
      <c r="K564">
        <v>256.60000000000002</v>
      </c>
      <c r="L564">
        <v>256.83</v>
      </c>
      <c r="M564">
        <v>256.97000000000003</v>
      </c>
      <c r="N564">
        <v>256.95</v>
      </c>
      <c r="O564" s="1">
        <f t="shared" si="32"/>
        <v>8.9633671083388933E-4</v>
      </c>
      <c r="P564" s="1">
        <f t="shared" si="33"/>
        <v>5.451076587628112E-4</v>
      </c>
      <c r="Q564" t="str">
        <f t="shared" si="34"/>
        <v>IDLE</v>
      </c>
      <c r="R564">
        <f t="shared" si="35"/>
        <v>0</v>
      </c>
    </row>
    <row r="565" spans="1:18" x14ac:dyDescent="0.2">
      <c r="A565" t="s">
        <v>14</v>
      </c>
      <c r="B565">
        <v>20231226</v>
      </c>
      <c r="C565">
        <v>101176.9</v>
      </c>
      <c r="D565">
        <v>101176.13</v>
      </c>
      <c r="E565">
        <v>1319</v>
      </c>
      <c r="F565">
        <v>1341</v>
      </c>
      <c r="G565" t="s">
        <v>576</v>
      </c>
      <c r="H565">
        <v>-0.76999999998952195</v>
      </c>
      <c r="I565">
        <v>22</v>
      </c>
      <c r="J565" t="s">
        <v>16</v>
      </c>
      <c r="K565">
        <v>256.58999999999997</v>
      </c>
      <c r="L565">
        <v>257.25</v>
      </c>
      <c r="M565">
        <v>257.43</v>
      </c>
      <c r="N565">
        <v>257.24</v>
      </c>
      <c r="O565" s="1">
        <f t="shared" si="32"/>
        <v>2.5721968899801162E-3</v>
      </c>
      <c r="P565" s="1">
        <f t="shared" si="33"/>
        <v>6.9970845481059918E-4</v>
      </c>
      <c r="Q565" t="str">
        <f t="shared" si="34"/>
        <v>IDLE</v>
      </c>
      <c r="R565">
        <f t="shared" si="35"/>
        <v>0</v>
      </c>
    </row>
    <row r="566" spans="1:18" x14ac:dyDescent="0.2">
      <c r="A566" t="s">
        <v>14</v>
      </c>
      <c r="B566">
        <v>20231226</v>
      </c>
      <c r="C566">
        <v>101176.13</v>
      </c>
      <c r="D566">
        <v>101163.81</v>
      </c>
      <c r="E566">
        <v>1538</v>
      </c>
      <c r="F566">
        <v>1552</v>
      </c>
      <c r="G566" t="s">
        <v>577</v>
      </c>
      <c r="H566">
        <v>-12.3200000000069</v>
      </c>
      <c r="I566">
        <v>14</v>
      </c>
      <c r="J566" t="s">
        <v>16</v>
      </c>
      <c r="K566">
        <v>256.77</v>
      </c>
      <c r="L566">
        <v>256.83999999999997</v>
      </c>
      <c r="M566">
        <v>257.45</v>
      </c>
      <c r="N566">
        <v>256.68</v>
      </c>
      <c r="O566" s="1">
        <f t="shared" si="32"/>
        <v>2.7261751762264197E-4</v>
      </c>
      <c r="P566" s="1">
        <f t="shared" si="33"/>
        <v>2.3750194673728409E-3</v>
      </c>
      <c r="Q566" t="str">
        <f t="shared" si="34"/>
        <v>IDLE</v>
      </c>
      <c r="R566">
        <f t="shared" si="35"/>
        <v>0</v>
      </c>
    </row>
    <row r="567" spans="1:18" x14ac:dyDescent="0.2">
      <c r="A567" t="s">
        <v>14</v>
      </c>
      <c r="B567">
        <v>20231227</v>
      </c>
      <c r="C567">
        <v>101163.81</v>
      </c>
      <c r="D567">
        <v>101263.37</v>
      </c>
      <c r="E567">
        <v>933</v>
      </c>
      <c r="F567">
        <v>948</v>
      </c>
      <c r="G567" t="s">
        <v>578</v>
      </c>
      <c r="H567">
        <v>99.559999999997601</v>
      </c>
      <c r="I567">
        <v>15</v>
      </c>
      <c r="J567" t="s">
        <v>16</v>
      </c>
      <c r="K567">
        <v>255.68</v>
      </c>
      <c r="L567">
        <v>260.07</v>
      </c>
      <c r="M567">
        <v>259.85000000000002</v>
      </c>
      <c r="N567">
        <v>261.38</v>
      </c>
      <c r="O567" s="1">
        <f t="shared" si="32"/>
        <v>1.7169899874843519E-2</v>
      </c>
      <c r="P567" s="1">
        <f t="shared" si="33"/>
        <v>-8.4592609681999331E-4</v>
      </c>
      <c r="Q567" t="str">
        <f t="shared" si="34"/>
        <v>IDLE</v>
      </c>
      <c r="R567">
        <f t="shared" si="35"/>
        <v>0</v>
      </c>
    </row>
    <row r="568" spans="1:18" x14ac:dyDescent="0.2">
      <c r="A568" t="s">
        <v>14</v>
      </c>
      <c r="B568">
        <v>20231227</v>
      </c>
      <c r="C568">
        <v>101263.37</v>
      </c>
      <c r="D568">
        <v>101240.57</v>
      </c>
      <c r="E568">
        <v>952</v>
      </c>
      <c r="F568">
        <v>1011</v>
      </c>
      <c r="G568" t="s">
        <v>579</v>
      </c>
      <c r="H568">
        <v>-22.799999999988302</v>
      </c>
      <c r="I568">
        <v>19</v>
      </c>
      <c r="J568" t="s">
        <v>16</v>
      </c>
      <c r="K568">
        <v>261.58999999999997</v>
      </c>
      <c r="L568">
        <v>262.45999999999998</v>
      </c>
      <c r="M568">
        <v>262.47000000000003</v>
      </c>
      <c r="N568">
        <v>262.16000000000003</v>
      </c>
      <c r="O568" s="1">
        <f t="shared" si="32"/>
        <v>3.3258152070032576E-3</v>
      </c>
      <c r="P568" s="1">
        <f t="shared" si="33"/>
        <v>3.8101043968730153E-5</v>
      </c>
      <c r="Q568" t="str">
        <f t="shared" si="34"/>
        <v>IDLE</v>
      </c>
      <c r="R568">
        <f t="shared" si="35"/>
        <v>0</v>
      </c>
    </row>
    <row r="569" spans="1:18" x14ac:dyDescent="0.2">
      <c r="A569" t="s">
        <v>14</v>
      </c>
      <c r="B569">
        <v>20231227</v>
      </c>
      <c r="C569">
        <v>101240.57</v>
      </c>
      <c r="D569">
        <v>101211.69</v>
      </c>
      <c r="E569">
        <v>1332</v>
      </c>
      <c r="F569">
        <v>1337</v>
      </c>
      <c r="G569" t="s">
        <v>580</v>
      </c>
      <c r="H569">
        <v>-28.8800000000046</v>
      </c>
      <c r="I569">
        <v>5</v>
      </c>
      <c r="J569" t="s">
        <v>16</v>
      </c>
      <c r="K569">
        <v>262.39</v>
      </c>
      <c r="L569">
        <v>263.13</v>
      </c>
      <c r="M569">
        <v>263.18</v>
      </c>
      <c r="N569">
        <v>262.75</v>
      </c>
      <c r="O569" s="1">
        <f t="shared" si="32"/>
        <v>2.8202294294752406E-3</v>
      </c>
      <c r="P569" s="1">
        <f t="shared" si="33"/>
        <v>1.9002014213520546E-4</v>
      </c>
      <c r="Q569" t="str">
        <f t="shared" si="34"/>
        <v>IDLE</v>
      </c>
      <c r="R569">
        <f t="shared" si="35"/>
        <v>0</v>
      </c>
    </row>
    <row r="570" spans="1:18" x14ac:dyDescent="0.2">
      <c r="A570" t="s">
        <v>14</v>
      </c>
      <c r="B570">
        <v>20231227</v>
      </c>
      <c r="C570">
        <v>101211.69</v>
      </c>
      <c r="D570">
        <v>101202.57</v>
      </c>
      <c r="E570">
        <v>1341</v>
      </c>
      <c r="F570">
        <v>1343</v>
      </c>
      <c r="G570" t="s">
        <v>581</v>
      </c>
      <c r="H570">
        <v>-9.1199999999953398</v>
      </c>
      <c r="I570">
        <v>2</v>
      </c>
      <c r="J570" t="s">
        <v>16</v>
      </c>
      <c r="K570">
        <v>262.73</v>
      </c>
      <c r="L570">
        <v>262.83</v>
      </c>
      <c r="M570">
        <v>263.13</v>
      </c>
      <c r="N570">
        <v>262.70999999999998</v>
      </c>
      <c r="O570" s="1">
        <f t="shared" si="32"/>
        <v>3.8061888630891438E-4</v>
      </c>
      <c r="P570" s="1">
        <f t="shared" si="33"/>
        <v>1.1414222120762485E-3</v>
      </c>
      <c r="Q570" t="str">
        <f t="shared" si="34"/>
        <v>IDLE</v>
      </c>
      <c r="R570">
        <f t="shared" si="35"/>
        <v>0</v>
      </c>
    </row>
    <row r="571" spans="1:18" x14ac:dyDescent="0.2">
      <c r="A571" t="s">
        <v>14</v>
      </c>
      <c r="B571">
        <v>20231227</v>
      </c>
      <c r="C571">
        <v>101202.57</v>
      </c>
      <c r="D571">
        <v>101191.93</v>
      </c>
      <c r="E571">
        <v>1347</v>
      </c>
      <c r="F571">
        <v>1349</v>
      </c>
      <c r="G571" t="s">
        <v>582</v>
      </c>
      <c r="H571">
        <v>-10.640000000013901</v>
      </c>
      <c r="I571">
        <v>2</v>
      </c>
      <c r="J571" t="s">
        <v>16</v>
      </c>
      <c r="K571">
        <v>262.73</v>
      </c>
      <c r="L571">
        <v>262.74</v>
      </c>
      <c r="M571">
        <v>262.88</v>
      </c>
      <c r="N571">
        <v>262.60000000000002</v>
      </c>
      <c r="O571" s="1">
        <f t="shared" si="32"/>
        <v>3.8061888630869234E-5</v>
      </c>
      <c r="P571" s="1">
        <f t="shared" si="33"/>
        <v>5.3284615970161653E-4</v>
      </c>
      <c r="Q571" t="str">
        <f t="shared" si="34"/>
        <v>IDLE</v>
      </c>
      <c r="R571">
        <f t="shared" si="35"/>
        <v>0</v>
      </c>
    </row>
    <row r="572" spans="1:18" x14ac:dyDescent="0.2">
      <c r="A572" t="s">
        <v>14</v>
      </c>
      <c r="B572">
        <v>20231227</v>
      </c>
      <c r="C572">
        <v>101191.93</v>
      </c>
      <c r="D572">
        <v>101181.29</v>
      </c>
      <c r="E572">
        <v>1353</v>
      </c>
      <c r="F572">
        <v>1359</v>
      </c>
      <c r="G572" t="s">
        <v>583</v>
      </c>
      <c r="H572">
        <v>-10.6399999999994</v>
      </c>
      <c r="I572">
        <v>6</v>
      </c>
      <c r="J572" t="s">
        <v>16</v>
      </c>
      <c r="K572">
        <v>262.64999999999998</v>
      </c>
      <c r="L572">
        <v>262.85000000000002</v>
      </c>
      <c r="M572">
        <v>262.87</v>
      </c>
      <c r="N572">
        <v>262.70999999999998</v>
      </c>
      <c r="O572" s="1">
        <f t="shared" si="32"/>
        <v>7.6146963639844856E-4</v>
      </c>
      <c r="P572" s="1">
        <f t="shared" si="33"/>
        <v>7.6089024158232377E-5</v>
      </c>
      <c r="Q572" t="str">
        <f t="shared" si="34"/>
        <v>IDLE</v>
      </c>
      <c r="R572">
        <f t="shared" si="35"/>
        <v>0</v>
      </c>
    </row>
    <row r="573" spans="1:18" x14ac:dyDescent="0.2">
      <c r="A573" t="s">
        <v>14</v>
      </c>
      <c r="B573">
        <v>20231227</v>
      </c>
      <c r="C573">
        <v>101181.29</v>
      </c>
      <c r="D573">
        <v>101169.89</v>
      </c>
      <c r="E573">
        <v>1534</v>
      </c>
      <c r="F573">
        <v>1536</v>
      </c>
      <c r="G573" t="s">
        <v>584</v>
      </c>
      <c r="H573">
        <v>-11.399999999994099</v>
      </c>
      <c r="I573">
        <v>2</v>
      </c>
      <c r="J573" t="s">
        <v>15</v>
      </c>
      <c r="K573">
        <v>260.31</v>
      </c>
      <c r="L573">
        <v>260.98</v>
      </c>
      <c r="M573">
        <v>260.92</v>
      </c>
      <c r="N573">
        <v>261.13</v>
      </c>
      <c r="O573" s="1">
        <f t="shared" si="32"/>
        <v>2.5738542507012241E-3</v>
      </c>
      <c r="P573" s="1">
        <f t="shared" si="33"/>
        <v>-2.2990267453448787E-4</v>
      </c>
      <c r="Q573" t="str">
        <f t="shared" si="34"/>
        <v>SELL</v>
      </c>
      <c r="R573">
        <f t="shared" si="35"/>
        <v>-11.399999999994099</v>
      </c>
    </row>
    <row r="574" spans="1:18" x14ac:dyDescent="0.2">
      <c r="A574" t="s">
        <v>14</v>
      </c>
      <c r="B574">
        <v>20231228</v>
      </c>
      <c r="C574">
        <v>101169.89</v>
      </c>
      <c r="D574">
        <v>101108.39</v>
      </c>
      <c r="E574">
        <v>933</v>
      </c>
      <c r="F574">
        <v>935</v>
      </c>
      <c r="G574" t="s">
        <v>585</v>
      </c>
      <c r="H574">
        <v>-61.5</v>
      </c>
      <c r="I574">
        <v>2</v>
      </c>
      <c r="J574" t="s">
        <v>16</v>
      </c>
      <c r="K574">
        <v>260.31</v>
      </c>
      <c r="L574">
        <v>263.95</v>
      </c>
      <c r="M574">
        <v>264.68</v>
      </c>
      <c r="N574">
        <v>263.13</v>
      </c>
      <c r="O574" s="1">
        <f t="shared" si="32"/>
        <v>1.3983327570973092E-2</v>
      </c>
      <c r="P574" s="1">
        <f t="shared" si="33"/>
        <v>2.7656753172951021E-3</v>
      </c>
      <c r="Q574" t="str">
        <f t="shared" si="34"/>
        <v>IDLE</v>
      </c>
      <c r="R574">
        <f t="shared" si="35"/>
        <v>0</v>
      </c>
    </row>
    <row r="575" spans="1:18" x14ac:dyDescent="0.2">
      <c r="A575" t="s">
        <v>14</v>
      </c>
      <c r="B575">
        <v>20231228</v>
      </c>
      <c r="C575">
        <v>101108.39</v>
      </c>
      <c r="D575">
        <v>101083.64</v>
      </c>
      <c r="E575">
        <v>939</v>
      </c>
      <c r="F575">
        <v>949</v>
      </c>
      <c r="G575" t="s">
        <v>586</v>
      </c>
      <c r="H575">
        <v>-24.75</v>
      </c>
      <c r="I575">
        <v>10</v>
      </c>
      <c r="J575" t="s">
        <v>16</v>
      </c>
      <c r="K575">
        <v>262.94</v>
      </c>
      <c r="L575">
        <v>263.43</v>
      </c>
      <c r="M575">
        <v>264.49</v>
      </c>
      <c r="N575">
        <v>263.10000000000002</v>
      </c>
      <c r="O575" s="1">
        <f t="shared" si="32"/>
        <v>1.8635430136153541E-3</v>
      </c>
      <c r="P575" s="1">
        <f t="shared" si="33"/>
        <v>4.0238393501119685E-3</v>
      </c>
      <c r="Q575" t="str">
        <f t="shared" si="34"/>
        <v>IDLE</v>
      </c>
      <c r="R575">
        <f t="shared" si="35"/>
        <v>0</v>
      </c>
    </row>
    <row r="576" spans="1:18" x14ac:dyDescent="0.2">
      <c r="A576" t="s">
        <v>14</v>
      </c>
      <c r="B576">
        <v>20231228</v>
      </c>
      <c r="C576">
        <v>101083.64</v>
      </c>
      <c r="D576">
        <v>101089.72</v>
      </c>
      <c r="E576">
        <v>1004</v>
      </c>
      <c r="F576">
        <v>1008</v>
      </c>
      <c r="G576" t="s">
        <v>587</v>
      </c>
      <c r="H576">
        <v>6.08000000000174</v>
      </c>
      <c r="I576">
        <v>4</v>
      </c>
      <c r="J576" t="s">
        <v>15</v>
      </c>
      <c r="K576">
        <v>260.79000000000002</v>
      </c>
      <c r="L576">
        <v>260.77999999999997</v>
      </c>
      <c r="M576">
        <v>261.58</v>
      </c>
      <c r="N576">
        <v>260.7</v>
      </c>
      <c r="O576" s="1">
        <f t="shared" si="32"/>
        <v>-3.8345028567254857E-5</v>
      </c>
      <c r="P576" s="1">
        <f t="shared" si="33"/>
        <v>3.0677199171715852E-3</v>
      </c>
      <c r="Q576" t="str">
        <f t="shared" si="34"/>
        <v>IDLE</v>
      </c>
      <c r="R576">
        <f t="shared" si="35"/>
        <v>0</v>
      </c>
    </row>
    <row r="577" spans="1:18" x14ac:dyDescent="0.2">
      <c r="A577" t="s">
        <v>14</v>
      </c>
      <c r="B577">
        <v>20231228</v>
      </c>
      <c r="C577">
        <v>101089.72</v>
      </c>
      <c r="D577">
        <v>101070.72</v>
      </c>
      <c r="E577">
        <v>1012</v>
      </c>
      <c r="F577">
        <v>1014</v>
      </c>
      <c r="G577" t="s">
        <v>588</v>
      </c>
      <c r="H577">
        <v>-19</v>
      </c>
      <c r="I577">
        <v>2</v>
      </c>
      <c r="J577" t="s">
        <v>15</v>
      </c>
      <c r="K577">
        <v>260.10000000000002</v>
      </c>
      <c r="L577">
        <v>260.70999999999998</v>
      </c>
      <c r="M577">
        <v>261.06</v>
      </c>
      <c r="N577">
        <v>260.95999999999998</v>
      </c>
      <c r="O577" s="1">
        <f t="shared" si="32"/>
        <v>2.3452518262205846E-3</v>
      </c>
      <c r="P577" s="1">
        <f t="shared" si="33"/>
        <v>1.3424878217176417E-3</v>
      </c>
      <c r="Q577" t="str">
        <f t="shared" si="34"/>
        <v>SELL</v>
      </c>
      <c r="R577">
        <f t="shared" si="35"/>
        <v>-19</v>
      </c>
    </row>
    <row r="578" spans="1:18" x14ac:dyDescent="0.2">
      <c r="A578" t="s">
        <v>14</v>
      </c>
      <c r="B578">
        <v>20231228</v>
      </c>
      <c r="C578">
        <v>101070.72</v>
      </c>
      <c r="D578">
        <v>101059.32</v>
      </c>
      <c r="E578">
        <v>1018</v>
      </c>
      <c r="F578">
        <v>1021</v>
      </c>
      <c r="G578" t="s">
        <v>589</v>
      </c>
      <c r="H578">
        <v>-11.399999999994099</v>
      </c>
      <c r="I578">
        <v>3</v>
      </c>
      <c r="J578" t="s">
        <v>15</v>
      </c>
      <c r="K578">
        <v>260.45999999999998</v>
      </c>
      <c r="L578">
        <v>260.76</v>
      </c>
      <c r="M578">
        <v>261.02</v>
      </c>
      <c r="N578">
        <v>260.91000000000003</v>
      </c>
      <c r="O578" s="1">
        <f t="shared" si="32"/>
        <v>1.1518083390924527E-3</v>
      </c>
      <c r="P578" s="1">
        <f t="shared" si="33"/>
        <v>9.9708544255250331E-4</v>
      </c>
      <c r="Q578" t="str">
        <f t="shared" si="34"/>
        <v>SELL</v>
      </c>
      <c r="R578">
        <f t="shared" si="35"/>
        <v>-11.399999999994099</v>
      </c>
    </row>
    <row r="579" spans="1:18" x14ac:dyDescent="0.2">
      <c r="A579" t="s">
        <v>14</v>
      </c>
      <c r="B579">
        <v>20231228</v>
      </c>
      <c r="C579">
        <v>101059.32</v>
      </c>
      <c r="D579">
        <v>101047.92</v>
      </c>
      <c r="E579">
        <v>1025</v>
      </c>
      <c r="F579">
        <v>1044</v>
      </c>
      <c r="G579" t="s">
        <v>590</v>
      </c>
      <c r="H579">
        <v>-11.400000000008699</v>
      </c>
      <c r="I579">
        <v>19</v>
      </c>
      <c r="J579" t="s">
        <v>15</v>
      </c>
      <c r="K579">
        <v>260.56</v>
      </c>
      <c r="L579">
        <v>261.14999999999998</v>
      </c>
      <c r="M579">
        <v>261.12</v>
      </c>
      <c r="N579">
        <v>261.3</v>
      </c>
      <c r="O579" s="1">
        <f t="shared" si="32"/>
        <v>2.2643536997235536E-3</v>
      </c>
      <c r="P579" s="1">
        <f t="shared" si="33"/>
        <v>-1.1487650775410252E-4</v>
      </c>
      <c r="Q579" t="str">
        <f t="shared" si="34"/>
        <v>SELL</v>
      </c>
      <c r="R579">
        <f t="shared" si="35"/>
        <v>-11.400000000008699</v>
      </c>
    </row>
    <row r="580" spans="1:18" x14ac:dyDescent="0.2">
      <c r="A580" t="s">
        <v>14</v>
      </c>
      <c r="B580">
        <v>20231228</v>
      </c>
      <c r="C580">
        <v>101047.92</v>
      </c>
      <c r="D580">
        <v>101157.36</v>
      </c>
      <c r="E580">
        <v>1101</v>
      </c>
      <c r="F580">
        <v>1141</v>
      </c>
      <c r="G580" t="s">
        <v>591</v>
      </c>
      <c r="H580">
        <v>109.440000000002</v>
      </c>
      <c r="I580">
        <v>40</v>
      </c>
      <c r="J580" t="s">
        <v>15</v>
      </c>
      <c r="K580">
        <v>260.70999999999998</v>
      </c>
      <c r="L580">
        <v>260.58999999999997</v>
      </c>
      <c r="M580">
        <v>261.61</v>
      </c>
      <c r="N580">
        <v>259.14999999999998</v>
      </c>
      <c r="O580" s="1">
        <f t="shared" ref="O580:O643" si="36">(L580/K580)-1</f>
        <v>-4.6028153887467393E-4</v>
      </c>
      <c r="P580" s="1">
        <f t="shared" ref="P580:P643" si="37">(M580/L580)-1</f>
        <v>3.9141947119998299E-3</v>
      </c>
      <c r="Q580" t="str">
        <f t="shared" ref="Q580:Q643" si="38">IF(J580="SELL",IF(O580&gt;=$O$1,"SELL","IDLE"),IF(P580&gt;=$P$1,"BUY","IDLE"))</f>
        <v>IDLE</v>
      </c>
      <c r="R580">
        <f t="shared" ref="R580:R643" si="39">IF(Q580&lt;&gt;"IDLE",H580,0)</f>
        <v>0</v>
      </c>
    </row>
    <row r="581" spans="1:18" x14ac:dyDescent="0.2">
      <c r="A581" t="s">
        <v>14</v>
      </c>
      <c r="B581">
        <v>20231228</v>
      </c>
      <c r="C581">
        <v>101157.36</v>
      </c>
      <c r="D581">
        <v>101136.57</v>
      </c>
      <c r="E581">
        <v>1145</v>
      </c>
      <c r="F581">
        <v>1206</v>
      </c>
      <c r="G581" t="s">
        <v>592</v>
      </c>
      <c r="H581">
        <v>-20.789999999993501</v>
      </c>
      <c r="I581">
        <v>21</v>
      </c>
      <c r="J581" t="s">
        <v>15</v>
      </c>
      <c r="K581">
        <v>258.81</v>
      </c>
      <c r="L581">
        <v>259.07</v>
      </c>
      <c r="M581">
        <v>259.13</v>
      </c>
      <c r="N581">
        <v>259.33999999999997</v>
      </c>
      <c r="O581" s="1">
        <f t="shared" si="36"/>
        <v>1.0045979676209793E-3</v>
      </c>
      <c r="P581" s="1">
        <f t="shared" si="37"/>
        <v>2.3159763770408404E-4</v>
      </c>
      <c r="Q581" t="str">
        <f t="shared" si="38"/>
        <v>SELL</v>
      </c>
      <c r="R581">
        <f t="shared" si="39"/>
        <v>-20.789999999993501</v>
      </c>
    </row>
    <row r="582" spans="1:18" x14ac:dyDescent="0.2">
      <c r="A582" t="s">
        <v>14</v>
      </c>
      <c r="B582">
        <v>20231228</v>
      </c>
      <c r="C582">
        <v>101136.57</v>
      </c>
      <c r="D582">
        <v>101125.02</v>
      </c>
      <c r="E582">
        <v>1210</v>
      </c>
      <c r="F582">
        <v>1233</v>
      </c>
      <c r="G582" t="s">
        <v>593</v>
      </c>
      <c r="H582">
        <v>-11.5500000000029</v>
      </c>
      <c r="I582">
        <v>23</v>
      </c>
      <c r="J582" t="s">
        <v>15</v>
      </c>
      <c r="K582">
        <v>258.95</v>
      </c>
      <c r="L582">
        <v>259.37</v>
      </c>
      <c r="M582">
        <v>259.38</v>
      </c>
      <c r="N582">
        <v>259.52</v>
      </c>
      <c r="O582" s="1">
        <f t="shared" si="36"/>
        <v>1.6219347364356818E-3</v>
      </c>
      <c r="P582" s="1">
        <f t="shared" si="37"/>
        <v>3.855496009563808E-5</v>
      </c>
      <c r="Q582" t="str">
        <f t="shared" si="38"/>
        <v>SELL</v>
      </c>
      <c r="R582">
        <f t="shared" si="39"/>
        <v>-11.5500000000029</v>
      </c>
    </row>
    <row r="583" spans="1:18" x14ac:dyDescent="0.2">
      <c r="A583" t="s">
        <v>14</v>
      </c>
      <c r="B583">
        <v>20231228</v>
      </c>
      <c r="C583">
        <v>101125.02</v>
      </c>
      <c r="D583">
        <v>101116.55</v>
      </c>
      <c r="E583">
        <v>1252</v>
      </c>
      <c r="F583">
        <v>1254</v>
      </c>
      <c r="G583" t="s">
        <v>594</v>
      </c>
      <c r="H583">
        <v>-8.4700000000011606</v>
      </c>
      <c r="I583">
        <v>2</v>
      </c>
      <c r="J583" t="s">
        <v>15</v>
      </c>
      <c r="K583">
        <v>258.93</v>
      </c>
      <c r="L583">
        <v>259.07</v>
      </c>
      <c r="M583">
        <v>259.70999999999998</v>
      </c>
      <c r="N583">
        <v>259.18</v>
      </c>
      <c r="O583" s="1">
        <f t="shared" si="36"/>
        <v>5.4068667207340937E-4</v>
      </c>
      <c r="P583" s="1">
        <f t="shared" si="37"/>
        <v>2.4703748021770444E-3</v>
      </c>
      <c r="Q583" t="str">
        <f t="shared" si="38"/>
        <v>SELL</v>
      </c>
      <c r="R583">
        <f t="shared" si="39"/>
        <v>-8.4700000000011606</v>
      </c>
    </row>
    <row r="584" spans="1:18" x14ac:dyDescent="0.2">
      <c r="A584" t="s">
        <v>14</v>
      </c>
      <c r="B584">
        <v>20231228</v>
      </c>
      <c r="C584">
        <v>101116.55</v>
      </c>
      <c r="D584">
        <v>101342.16</v>
      </c>
      <c r="E584">
        <v>1258</v>
      </c>
      <c r="F584">
        <v>1423</v>
      </c>
      <c r="G584" t="s">
        <v>595</v>
      </c>
      <c r="H584">
        <v>225.61</v>
      </c>
      <c r="I584">
        <v>85</v>
      </c>
      <c r="J584" t="s">
        <v>15</v>
      </c>
      <c r="K584">
        <v>258.98</v>
      </c>
      <c r="L584">
        <v>259.16000000000003</v>
      </c>
      <c r="M584">
        <v>259.22000000000003</v>
      </c>
      <c r="N584">
        <v>256.23</v>
      </c>
      <c r="O584" s="1">
        <f t="shared" si="36"/>
        <v>6.950343655880431E-4</v>
      </c>
      <c r="P584" s="1">
        <f t="shared" si="37"/>
        <v>2.3151720944580845E-4</v>
      </c>
      <c r="Q584" t="str">
        <f t="shared" si="38"/>
        <v>SELL</v>
      </c>
      <c r="R584">
        <f t="shared" si="39"/>
        <v>225.61</v>
      </c>
    </row>
    <row r="585" spans="1:18" x14ac:dyDescent="0.2">
      <c r="A585" t="s">
        <v>14</v>
      </c>
      <c r="B585">
        <v>20231228</v>
      </c>
      <c r="C585">
        <v>101342.16</v>
      </c>
      <c r="D585">
        <v>101515.32</v>
      </c>
      <c r="E585">
        <v>1427</v>
      </c>
      <c r="F585">
        <v>1519</v>
      </c>
      <c r="G585" t="s">
        <v>596</v>
      </c>
      <c r="H585">
        <v>173.16000000000301</v>
      </c>
      <c r="I585">
        <v>52</v>
      </c>
      <c r="J585" t="s">
        <v>15</v>
      </c>
      <c r="K585">
        <v>255.86</v>
      </c>
      <c r="L585">
        <v>256</v>
      </c>
      <c r="M585">
        <v>256.16000000000003</v>
      </c>
      <c r="N585">
        <v>253.78</v>
      </c>
      <c r="O585" s="1">
        <f t="shared" si="36"/>
        <v>5.4717423591021941E-4</v>
      </c>
      <c r="P585" s="1">
        <f t="shared" si="37"/>
        <v>6.250000000000977E-4</v>
      </c>
      <c r="Q585" t="str">
        <f t="shared" si="38"/>
        <v>SELL</v>
      </c>
      <c r="R585">
        <f t="shared" si="39"/>
        <v>173.16000000000301</v>
      </c>
    </row>
    <row r="586" spans="1:18" x14ac:dyDescent="0.2">
      <c r="A586" t="s">
        <v>14</v>
      </c>
      <c r="B586">
        <v>20231228</v>
      </c>
      <c r="C586">
        <v>101515.32</v>
      </c>
      <c r="D586">
        <v>101544.18</v>
      </c>
      <c r="E586">
        <v>1554</v>
      </c>
      <c r="F586">
        <v>1557</v>
      </c>
      <c r="G586" t="s">
        <v>597</v>
      </c>
      <c r="H586">
        <v>28.859999999986002</v>
      </c>
      <c r="I586">
        <v>3</v>
      </c>
      <c r="J586" t="s">
        <v>15</v>
      </c>
      <c r="K586">
        <v>253.43</v>
      </c>
      <c r="L586">
        <v>253.4</v>
      </c>
      <c r="M586">
        <v>253.94</v>
      </c>
      <c r="N586">
        <v>253.03</v>
      </c>
      <c r="O586" s="1">
        <f t="shared" si="36"/>
        <v>-1.1837588288676759E-4</v>
      </c>
      <c r="P586" s="1">
        <f t="shared" si="37"/>
        <v>2.1310181531175587E-3</v>
      </c>
      <c r="Q586" t="str">
        <f t="shared" si="38"/>
        <v>IDLE</v>
      </c>
      <c r="R586">
        <f t="shared" si="39"/>
        <v>0</v>
      </c>
    </row>
    <row r="587" spans="1:18" x14ac:dyDescent="0.2">
      <c r="A587" t="s">
        <v>14</v>
      </c>
      <c r="B587">
        <v>20231229</v>
      </c>
      <c r="C587">
        <v>101544.18</v>
      </c>
      <c r="D587">
        <v>101495.99</v>
      </c>
      <c r="E587">
        <v>938</v>
      </c>
      <c r="F587">
        <v>942</v>
      </c>
      <c r="G587" t="s">
        <v>598</v>
      </c>
      <c r="H587">
        <v>-48.189999999987698</v>
      </c>
      <c r="I587">
        <v>4</v>
      </c>
      <c r="J587" t="s">
        <v>15</v>
      </c>
      <c r="K587">
        <v>251.56</v>
      </c>
      <c r="L587">
        <v>253.04</v>
      </c>
      <c r="M587">
        <v>253.86</v>
      </c>
      <c r="N587">
        <v>253.65</v>
      </c>
      <c r="O587" s="1">
        <f t="shared" si="36"/>
        <v>5.8832882811257203E-3</v>
      </c>
      <c r="P587" s="1">
        <f t="shared" si="37"/>
        <v>3.2405943724314046E-3</v>
      </c>
      <c r="Q587" t="str">
        <f t="shared" si="38"/>
        <v>SELL</v>
      </c>
      <c r="R587">
        <f t="shared" si="39"/>
        <v>-48.189999999987698</v>
      </c>
    </row>
    <row r="588" spans="1:18" x14ac:dyDescent="0.2">
      <c r="A588" t="s">
        <v>14</v>
      </c>
      <c r="B588">
        <v>20231229</v>
      </c>
      <c r="C588">
        <v>101495.99</v>
      </c>
      <c r="D588">
        <v>101454.65</v>
      </c>
      <c r="E588">
        <v>946</v>
      </c>
      <c r="F588">
        <v>948</v>
      </c>
      <c r="G588" t="s">
        <v>599</v>
      </c>
      <c r="H588">
        <v>-41.340000000011003</v>
      </c>
      <c r="I588">
        <v>2</v>
      </c>
      <c r="J588" t="s">
        <v>15</v>
      </c>
      <c r="K588">
        <v>252.62</v>
      </c>
      <c r="L588">
        <v>253.31</v>
      </c>
      <c r="M588">
        <v>253.77</v>
      </c>
      <c r="N588">
        <v>253.84</v>
      </c>
      <c r="O588" s="1">
        <f t="shared" si="36"/>
        <v>2.7313751880293502E-3</v>
      </c>
      <c r="P588" s="1">
        <f t="shared" si="37"/>
        <v>1.8159567328570603E-3</v>
      </c>
      <c r="Q588" t="str">
        <f t="shared" si="38"/>
        <v>SELL</v>
      </c>
      <c r="R588">
        <f t="shared" si="39"/>
        <v>-41.340000000011003</v>
      </c>
    </row>
    <row r="589" spans="1:18" x14ac:dyDescent="0.2">
      <c r="A589" t="s">
        <v>14</v>
      </c>
      <c r="B589">
        <v>20231229</v>
      </c>
      <c r="C589">
        <v>101454.65</v>
      </c>
      <c r="D589">
        <v>101429.37</v>
      </c>
      <c r="E589">
        <v>1004</v>
      </c>
      <c r="F589">
        <v>1005</v>
      </c>
      <c r="G589" t="s">
        <v>600</v>
      </c>
      <c r="H589">
        <v>-25.2799999999988</v>
      </c>
      <c r="I589">
        <v>1</v>
      </c>
      <c r="J589" t="s">
        <v>15</v>
      </c>
      <c r="K589">
        <v>251.69</v>
      </c>
      <c r="L589">
        <v>252.08</v>
      </c>
      <c r="M589">
        <v>253.66</v>
      </c>
      <c r="N589">
        <v>252.4</v>
      </c>
      <c r="O589" s="1">
        <f t="shared" si="36"/>
        <v>1.5495252095831802E-3</v>
      </c>
      <c r="P589" s="1">
        <f t="shared" si="37"/>
        <v>6.2678514757219528E-3</v>
      </c>
      <c r="Q589" t="str">
        <f t="shared" si="38"/>
        <v>SELL</v>
      </c>
      <c r="R589">
        <f t="shared" si="39"/>
        <v>-25.2799999999988</v>
      </c>
    </row>
    <row r="590" spans="1:18" x14ac:dyDescent="0.2">
      <c r="A590" t="s">
        <v>14</v>
      </c>
      <c r="B590">
        <v>20231229</v>
      </c>
      <c r="C590">
        <v>101429.37</v>
      </c>
      <c r="D590">
        <v>101393.82</v>
      </c>
      <c r="E590">
        <v>1009</v>
      </c>
      <c r="F590">
        <v>1016</v>
      </c>
      <c r="G590" t="s">
        <v>601</v>
      </c>
      <c r="H590">
        <v>-35.549999999988302</v>
      </c>
      <c r="I590">
        <v>7</v>
      </c>
      <c r="J590" t="s">
        <v>15</v>
      </c>
      <c r="K590">
        <v>251.69</v>
      </c>
      <c r="L590">
        <v>253.03</v>
      </c>
      <c r="M590">
        <v>253.39</v>
      </c>
      <c r="N590">
        <v>253.48</v>
      </c>
      <c r="O590" s="1">
        <f t="shared" si="36"/>
        <v>5.324009694465337E-3</v>
      </c>
      <c r="P590" s="1">
        <f t="shared" si="37"/>
        <v>1.4227561949176071E-3</v>
      </c>
      <c r="Q590" t="str">
        <f t="shared" si="38"/>
        <v>SELL</v>
      </c>
      <c r="R590">
        <f t="shared" si="39"/>
        <v>-35.549999999988302</v>
      </c>
    </row>
    <row r="591" spans="1:18" x14ac:dyDescent="0.2">
      <c r="A591" t="s">
        <v>14</v>
      </c>
      <c r="B591">
        <v>20231229</v>
      </c>
      <c r="C591">
        <v>101393.82</v>
      </c>
      <c r="D591">
        <v>101677.43</v>
      </c>
      <c r="E591">
        <v>1020</v>
      </c>
      <c r="F591">
        <v>1050</v>
      </c>
      <c r="G591" t="s">
        <v>602</v>
      </c>
      <c r="H591">
        <v>283.60999999998597</v>
      </c>
      <c r="I591">
        <v>30</v>
      </c>
      <c r="J591" t="s">
        <v>15</v>
      </c>
      <c r="K591">
        <v>252.98</v>
      </c>
      <c r="L591">
        <v>253.04</v>
      </c>
      <c r="M591">
        <v>253.46</v>
      </c>
      <c r="N591">
        <v>249.45</v>
      </c>
      <c r="O591" s="1">
        <f t="shared" si="36"/>
        <v>2.3717289904334748E-4</v>
      </c>
      <c r="P591" s="1">
        <f t="shared" si="37"/>
        <v>1.6598166297818739E-3</v>
      </c>
      <c r="Q591" t="str">
        <f t="shared" si="38"/>
        <v>SELL</v>
      </c>
      <c r="R591">
        <f t="shared" si="39"/>
        <v>283.60999999998597</v>
      </c>
    </row>
    <row r="592" spans="1:18" x14ac:dyDescent="0.2">
      <c r="A592" t="s">
        <v>14</v>
      </c>
      <c r="B592">
        <v>20231229</v>
      </c>
      <c r="C592">
        <v>101677.43</v>
      </c>
      <c r="D592">
        <v>101627.03</v>
      </c>
      <c r="E592">
        <v>1054</v>
      </c>
      <c r="F592">
        <v>1056</v>
      </c>
      <c r="G592" t="s">
        <v>603</v>
      </c>
      <c r="H592">
        <v>-50.399999999994101</v>
      </c>
      <c r="I592">
        <v>2</v>
      </c>
      <c r="J592" t="s">
        <v>15</v>
      </c>
      <c r="K592">
        <v>248.52</v>
      </c>
      <c r="L592">
        <v>248.99</v>
      </c>
      <c r="M592">
        <v>249.42</v>
      </c>
      <c r="N592">
        <v>249.62</v>
      </c>
      <c r="O592" s="1">
        <f t="shared" si="36"/>
        <v>1.8911958796072881E-3</v>
      </c>
      <c r="P592" s="1">
        <f t="shared" si="37"/>
        <v>1.7269769870273954E-3</v>
      </c>
      <c r="Q592" t="str">
        <f t="shared" si="38"/>
        <v>SELL</v>
      </c>
      <c r="R592">
        <f t="shared" si="39"/>
        <v>-50.399999999994101</v>
      </c>
    </row>
    <row r="593" spans="1:18" x14ac:dyDescent="0.2">
      <c r="A593" t="s">
        <v>14</v>
      </c>
      <c r="B593">
        <v>20231229</v>
      </c>
      <c r="C593">
        <v>101627.03</v>
      </c>
      <c r="D593">
        <v>101742.23</v>
      </c>
      <c r="E593">
        <v>1100</v>
      </c>
      <c r="F593">
        <v>1117</v>
      </c>
      <c r="G593" t="s">
        <v>604</v>
      </c>
      <c r="H593">
        <v>115.199999999997</v>
      </c>
      <c r="I593">
        <v>17</v>
      </c>
      <c r="J593" t="s">
        <v>15</v>
      </c>
      <c r="K593">
        <v>248.98</v>
      </c>
      <c r="L593">
        <v>249.61</v>
      </c>
      <c r="M593">
        <v>249.79</v>
      </c>
      <c r="N593">
        <v>248.17</v>
      </c>
      <c r="O593" s="1">
        <f t="shared" si="36"/>
        <v>2.5303237207809914E-3</v>
      </c>
      <c r="P593" s="1">
        <f t="shared" si="37"/>
        <v>7.211249549297083E-4</v>
      </c>
      <c r="Q593" t="str">
        <f t="shared" si="38"/>
        <v>SELL</v>
      </c>
      <c r="R593">
        <f t="shared" si="39"/>
        <v>115.199999999997</v>
      </c>
    </row>
    <row r="594" spans="1:18" x14ac:dyDescent="0.2">
      <c r="A594" t="s">
        <v>14</v>
      </c>
      <c r="B594">
        <v>20231229</v>
      </c>
      <c r="C594">
        <v>101742.23</v>
      </c>
      <c r="D594">
        <v>101739.83</v>
      </c>
      <c r="E594">
        <v>1121</v>
      </c>
      <c r="F594">
        <v>1134</v>
      </c>
      <c r="G594" t="s">
        <v>605</v>
      </c>
      <c r="H594">
        <v>-2.3999999999941699</v>
      </c>
      <c r="I594">
        <v>13</v>
      </c>
      <c r="J594" t="s">
        <v>15</v>
      </c>
      <c r="K594">
        <v>247.7</v>
      </c>
      <c r="L594">
        <v>248.31</v>
      </c>
      <c r="M594">
        <v>248.61</v>
      </c>
      <c r="N594">
        <v>248.34</v>
      </c>
      <c r="O594" s="1">
        <f t="shared" si="36"/>
        <v>2.462656439241151E-3</v>
      </c>
      <c r="P594" s="1">
        <f t="shared" si="37"/>
        <v>1.2081672103418928E-3</v>
      </c>
      <c r="Q594" t="str">
        <f t="shared" si="38"/>
        <v>SELL</v>
      </c>
      <c r="R594">
        <f t="shared" si="39"/>
        <v>-2.3999999999941699</v>
      </c>
    </row>
    <row r="595" spans="1:18" x14ac:dyDescent="0.2">
      <c r="A595" t="s">
        <v>14</v>
      </c>
      <c r="B595">
        <v>20231229</v>
      </c>
      <c r="C595">
        <v>101739.83</v>
      </c>
      <c r="D595">
        <v>101724.63</v>
      </c>
      <c r="E595">
        <v>1138</v>
      </c>
      <c r="F595">
        <v>1141</v>
      </c>
      <c r="G595" t="s">
        <v>606</v>
      </c>
      <c r="H595">
        <v>-15.199999999997001</v>
      </c>
      <c r="I595">
        <v>3</v>
      </c>
      <c r="J595" t="s">
        <v>15</v>
      </c>
      <c r="K595">
        <v>247.76</v>
      </c>
      <c r="L595">
        <v>248.12</v>
      </c>
      <c r="M595">
        <v>248.45</v>
      </c>
      <c r="N595">
        <v>248.31</v>
      </c>
      <c r="O595" s="1">
        <f t="shared" si="36"/>
        <v>1.4530190506942819E-3</v>
      </c>
      <c r="P595" s="1">
        <f t="shared" si="37"/>
        <v>1.330001612123155E-3</v>
      </c>
      <c r="Q595" t="str">
        <f t="shared" si="38"/>
        <v>SELL</v>
      </c>
      <c r="R595">
        <f t="shared" si="39"/>
        <v>-15.199999999997001</v>
      </c>
    </row>
    <row r="596" spans="1:18" x14ac:dyDescent="0.2">
      <c r="A596" t="s">
        <v>14</v>
      </c>
      <c r="B596">
        <v>20231229</v>
      </c>
      <c r="C596">
        <v>101724.63</v>
      </c>
      <c r="D596">
        <v>101739.03</v>
      </c>
      <c r="E596">
        <v>1217</v>
      </c>
      <c r="F596">
        <v>1233</v>
      </c>
      <c r="G596" t="s">
        <v>607</v>
      </c>
      <c r="H596">
        <v>14.399999999994099</v>
      </c>
      <c r="I596">
        <v>16</v>
      </c>
      <c r="J596" t="s">
        <v>15</v>
      </c>
      <c r="K596">
        <v>248.87</v>
      </c>
      <c r="L596">
        <v>249.14</v>
      </c>
      <c r="M596">
        <v>249.4</v>
      </c>
      <c r="N596">
        <v>248.96</v>
      </c>
      <c r="O596" s="1">
        <f t="shared" si="36"/>
        <v>1.0849037650177973E-3</v>
      </c>
      <c r="P596" s="1">
        <f t="shared" si="37"/>
        <v>1.0435899494261047E-3</v>
      </c>
      <c r="Q596" t="str">
        <f t="shared" si="38"/>
        <v>SELL</v>
      </c>
      <c r="R596">
        <f t="shared" si="39"/>
        <v>14.399999999994099</v>
      </c>
    </row>
    <row r="597" spans="1:18" x14ac:dyDescent="0.2">
      <c r="A597" t="s">
        <v>14</v>
      </c>
      <c r="B597">
        <v>20231229</v>
      </c>
      <c r="C597">
        <v>101739.03</v>
      </c>
      <c r="D597">
        <v>101717.43</v>
      </c>
      <c r="E597">
        <v>1237</v>
      </c>
      <c r="F597">
        <v>1238</v>
      </c>
      <c r="G597" t="s">
        <v>608</v>
      </c>
      <c r="H597">
        <v>-21.600000000005799</v>
      </c>
      <c r="I597">
        <v>1</v>
      </c>
      <c r="J597" t="s">
        <v>15</v>
      </c>
      <c r="K597">
        <v>248.47</v>
      </c>
      <c r="L597">
        <v>248.76</v>
      </c>
      <c r="M597">
        <v>249.01</v>
      </c>
      <c r="N597">
        <v>249.03</v>
      </c>
      <c r="O597" s="1">
        <f t="shared" si="36"/>
        <v>1.1671429146375978E-3</v>
      </c>
      <c r="P597" s="1">
        <f t="shared" si="37"/>
        <v>1.0049847242321608E-3</v>
      </c>
      <c r="Q597" t="str">
        <f t="shared" si="38"/>
        <v>SELL</v>
      </c>
      <c r="R597">
        <f t="shared" si="39"/>
        <v>-21.600000000005799</v>
      </c>
    </row>
    <row r="598" spans="1:18" x14ac:dyDescent="0.2">
      <c r="A598" t="s">
        <v>14</v>
      </c>
      <c r="B598">
        <v>20231229</v>
      </c>
      <c r="C598">
        <v>101717.43</v>
      </c>
      <c r="D598">
        <v>101741.43</v>
      </c>
      <c r="E598">
        <v>1242</v>
      </c>
      <c r="F598">
        <v>1305</v>
      </c>
      <c r="G598" t="s">
        <v>609</v>
      </c>
      <c r="H598">
        <v>24</v>
      </c>
      <c r="I598">
        <v>23</v>
      </c>
      <c r="J598" t="s">
        <v>15</v>
      </c>
      <c r="K598">
        <v>248.69</v>
      </c>
      <c r="L598">
        <v>248.93</v>
      </c>
      <c r="M598">
        <v>249.07</v>
      </c>
      <c r="N598">
        <v>248.63</v>
      </c>
      <c r="O598" s="1">
        <f t="shared" si="36"/>
        <v>9.6505689814629925E-4</v>
      </c>
      <c r="P598" s="1">
        <f t="shared" si="37"/>
        <v>5.6240710239818803E-4</v>
      </c>
      <c r="Q598" t="str">
        <f t="shared" si="38"/>
        <v>SELL</v>
      </c>
      <c r="R598">
        <f t="shared" si="39"/>
        <v>24</v>
      </c>
    </row>
    <row r="599" spans="1:18" x14ac:dyDescent="0.2">
      <c r="A599" t="s">
        <v>14</v>
      </c>
      <c r="B599">
        <v>20231229</v>
      </c>
      <c r="C599">
        <v>101741.43</v>
      </c>
      <c r="D599">
        <v>101732.63</v>
      </c>
      <c r="E599">
        <v>1433</v>
      </c>
      <c r="F599">
        <v>1437</v>
      </c>
      <c r="G599" t="s">
        <v>610</v>
      </c>
      <c r="H599">
        <v>-8.7999999999883496</v>
      </c>
      <c r="I599">
        <v>4</v>
      </c>
      <c r="J599" t="s">
        <v>15</v>
      </c>
      <c r="K599">
        <v>249.45</v>
      </c>
      <c r="L599">
        <v>249.64</v>
      </c>
      <c r="M599">
        <v>250.02</v>
      </c>
      <c r="N599">
        <v>249.75</v>
      </c>
      <c r="O599" s="1">
        <f t="shared" si="36"/>
        <v>7.6167568651031026E-4</v>
      </c>
      <c r="P599" s="1">
        <f t="shared" si="37"/>
        <v>1.5221919564172293E-3</v>
      </c>
      <c r="Q599" t="str">
        <f t="shared" si="38"/>
        <v>SELL</v>
      </c>
      <c r="R599">
        <f t="shared" si="39"/>
        <v>-8.7999999999883496</v>
      </c>
    </row>
    <row r="600" spans="1:18" x14ac:dyDescent="0.2">
      <c r="A600" t="s">
        <v>14</v>
      </c>
      <c r="B600">
        <v>20231229</v>
      </c>
      <c r="C600">
        <v>101732.63</v>
      </c>
      <c r="D600">
        <v>101703.4</v>
      </c>
      <c r="E600">
        <v>1441</v>
      </c>
      <c r="F600">
        <v>1452</v>
      </c>
      <c r="G600" t="s">
        <v>611</v>
      </c>
      <c r="H600">
        <v>-29.230000000010399</v>
      </c>
      <c r="I600">
        <v>11</v>
      </c>
      <c r="J600" t="s">
        <v>15</v>
      </c>
      <c r="K600">
        <v>249.52</v>
      </c>
      <c r="L600">
        <v>250.18</v>
      </c>
      <c r="M600">
        <v>250.1</v>
      </c>
      <c r="N600">
        <v>250.55</v>
      </c>
      <c r="O600" s="1">
        <f t="shared" si="36"/>
        <v>2.6450785508176367E-3</v>
      </c>
      <c r="P600" s="1">
        <f t="shared" si="37"/>
        <v>-3.1976976576875149E-4</v>
      </c>
      <c r="Q600" t="str">
        <f t="shared" si="38"/>
        <v>SELL</v>
      </c>
      <c r="R600">
        <f t="shared" si="39"/>
        <v>-29.230000000010399</v>
      </c>
    </row>
    <row r="601" spans="1:18" x14ac:dyDescent="0.2">
      <c r="A601" t="s">
        <v>14</v>
      </c>
      <c r="B601">
        <v>20231229</v>
      </c>
      <c r="C601">
        <v>101703.4</v>
      </c>
      <c r="D601">
        <v>101685.8</v>
      </c>
      <c r="E601">
        <v>1506</v>
      </c>
      <c r="F601">
        <v>1508</v>
      </c>
      <c r="G601" t="s">
        <v>612</v>
      </c>
      <c r="H601">
        <v>-17.599999999991201</v>
      </c>
      <c r="I601">
        <v>2</v>
      </c>
      <c r="J601" t="s">
        <v>15</v>
      </c>
      <c r="K601">
        <v>249.86</v>
      </c>
      <c r="L601">
        <v>249.93</v>
      </c>
      <c r="M601">
        <v>250.67</v>
      </c>
      <c r="N601">
        <v>250.15</v>
      </c>
      <c r="O601" s="1">
        <f t="shared" si="36"/>
        <v>2.8015688785720805E-4</v>
      </c>
      <c r="P601" s="1">
        <f t="shared" si="37"/>
        <v>2.9608290321290198E-3</v>
      </c>
      <c r="Q601" t="str">
        <f t="shared" si="38"/>
        <v>SELL</v>
      </c>
      <c r="R601">
        <f t="shared" si="39"/>
        <v>-17.599999999991201</v>
      </c>
    </row>
    <row r="602" spans="1:18" x14ac:dyDescent="0.2">
      <c r="A602" t="s">
        <v>14</v>
      </c>
      <c r="B602">
        <v>20231229</v>
      </c>
      <c r="C602">
        <v>101685.8</v>
      </c>
      <c r="D602">
        <v>101831.16</v>
      </c>
      <c r="E602">
        <v>1512</v>
      </c>
      <c r="F602">
        <v>1557</v>
      </c>
      <c r="G602" t="s">
        <v>613</v>
      </c>
      <c r="H602">
        <v>145.36000000000001</v>
      </c>
      <c r="I602">
        <v>45</v>
      </c>
      <c r="J602" t="s">
        <v>15</v>
      </c>
      <c r="K602">
        <v>249.83</v>
      </c>
      <c r="L602">
        <v>250.27</v>
      </c>
      <c r="M602">
        <v>250.48</v>
      </c>
      <c r="N602">
        <v>248.43</v>
      </c>
      <c r="O602" s="1">
        <f t="shared" si="36"/>
        <v>1.761197614377874E-3</v>
      </c>
      <c r="P602" s="1">
        <f t="shared" si="37"/>
        <v>8.3909377871882462E-4</v>
      </c>
      <c r="Q602" t="str">
        <f t="shared" si="38"/>
        <v>SELL</v>
      </c>
      <c r="R602">
        <f t="shared" si="39"/>
        <v>145.36000000000001</v>
      </c>
    </row>
    <row r="603" spans="1:18" x14ac:dyDescent="0.2">
      <c r="A603" t="s">
        <v>14</v>
      </c>
      <c r="B603">
        <v>20240102</v>
      </c>
      <c r="C603">
        <v>101831.16</v>
      </c>
      <c r="D603">
        <v>101888.67</v>
      </c>
      <c r="E603">
        <v>938</v>
      </c>
      <c r="F603">
        <v>944</v>
      </c>
      <c r="G603" t="s">
        <v>614</v>
      </c>
      <c r="H603">
        <v>57.509999999994697</v>
      </c>
      <c r="I603">
        <v>6</v>
      </c>
      <c r="J603" t="s">
        <v>15</v>
      </c>
      <c r="K603">
        <v>245.31</v>
      </c>
      <c r="L603">
        <v>246.61</v>
      </c>
      <c r="M603">
        <v>249.73</v>
      </c>
      <c r="N603">
        <v>245.9</v>
      </c>
      <c r="O603" s="1">
        <f t="shared" si="36"/>
        <v>5.2994170641229577E-3</v>
      </c>
      <c r="P603" s="1">
        <f t="shared" si="37"/>
        <v>1.2651555086979238E-2</v>
      </c>
      <c r="Q603" t="str">
        <f t="shared" si="38"/>
        <v>SELL</v>
      </c>
      <c r="R603">
        <f t="shared" si="39"/>
        <v>57.509999999994697</v>
      </c>
    </row>
    <row r="604" spans="1:18" x14ac:dyDescent="0.2">
      <c r="A604" t="s">
        <v>14</v>
      </c>
      <c r="B604">
        <v>20240102</v>
      </c>
      <c r="C604">
        <v>101888.67</v>
      </c>
      <c r="D604">
        <v>101867.61</v>
      </c>
      <c r="E604">
        <v>948</v>
      </c>
      <c r="F604">
        <v>950</v>
      </c>
      <c r="G604" t="s">
        <v>615</v>
      </c>
      <c r="H604">
        <v>-21.059999999997601</v>
      </c>
      <c r="I604">
        <v>2</v>
      </c>
      <c r="J604" t="s">
        <v>15</v>
      </c>
      <c r="K604">
        <v>245.06</v>
      </c>
      <c r="L604">
        <v>246.51</v>
      </c>
      <c r="M604">
        <v>246.87</v>
      </c>
      <c r="N604">
        <v>246.77</v>
      </c>
      <c r="O604" s="1">
        <f t="shared" si="36"/>
        <v>5.9169183057210528E-3</v>
      </c>
      <c r="P604" s="1">
        <f t="shared" si="37"/>
        <v>1.4603870025557963E-3</v>
      </c>
      <c r="Q604" t="str">
        <f t="shared" si="38"/>
        <v>SELL</v>
      </c>
      <c r="R604">
        <f t="shared" si="39"/>
        <v>-21.059999999997601</v>
      </c>
    </row>
    <row r="605" spans="1:18" x14ac:dyDescent="0.2">
      <c r="A605" t="s">
        <v>14</v>
      </c>
      <c r="B605">
        <v>20240102</v>
      </c>
      <c r="C605">
        <v>101867.61</v>
      </c>
      <c r="D605">
        <v>101864.45</v>
      </c>
      <c r="E605">
        <v>1134</v>
      </c>
      <c r="F605">
        <v>1152</v>
      </c>
      <c r="G605" t="s">
        <v>616</v>
      </c>
      <c r="H605">
        <v>-3.1600000000034898</v>
      </c>
      <c r="I605">
        <v>18</v>
      </c>
      <c r="J605" t="s">
        <v>16</v>
      </c>
      <c r="K605">
        <v>249.76</v>
      </c>
      <c r="L605">
        <v>250.19</v>
      </c>
      <c r="M605">
        <v>250.36</v>
      </c>
      <c r="N605">
        <v>250.15</v>
      </c>
      <c r="O605" s="1">
        <f t="shared" si="36"/>
        <v>1.7216527866752429E-3</v>
      </c>
      <c r="P605" s="1">
        <f t="shared" si="37"/>
        <v>6.7948359246972068E-4</v>
      </c>
      <c r="Q605" t="str">
        <f t="shared" si="38"/>
        <v>IDLE</v>
      </c>
      <c r="R605">
        <f t="shared" si="39"/>
        <v>0</v>
      </c>
    </row>
    <row r="606" spans="1:18" x14ac:dyDescent="0.2">
      <c r="A606" t="s">
        <v>14</v>
      </c>
      <c r="B606">
        <v>20240102</v>
      </c>
      <c r="C606">
        <v>101864.45</v>
      </c>
      <c r="D606">
        <v>101847.07</v>
      </c>
      <c r="E606">
        <v>1156</v>
      </c>
      <c r="F606">
        <v>1157</v>
      </c>
      <c r="G606" t="s">
        <v>617</v>
      </c>
      <c r="H606">
        <v>-17.379999999990101</v>
      </c>
      <c r="I606">
        <v>1</v>
      </c>
      <c r="J606" t="s">
        <v>16</v>
      </c>
      <c r="K606">
        <v>250.19</v>
      </c>
      <c r="L606">
        <v>250.37</v>
      </c>
      <c r="M606">
        <v>250.7</v>
      </c>
      <c r="N606">
        <v>250.15</v>
      </c>
      <c r="O606" s="1">
        <f t="shared" si="36"/>
        <v>7.1945321555610953E-4</v>
      </c>
      <c r="P606" s="1">
        <f t="shared" si="37"/>
        <v>1.3180492870550342E-3</v>
      </c>
      <c r="Q606" t="str">
        <f t="shared" si="38"/>
        <v>IDLE</v>
      </c>
      <c r="R606">
        <f t="shared" si="39"/>
        <v>0</v>
      </c>
    </row>
    <row r="607" spans="1:18" x14ac:dyDescent="0.2">
      <c r="A607" t="s">
        <v>14</v>
      </c>
      <c r="B607">
        <v>20240102</v>
      </c>
      <c r="C607">
        <v>101847.07</v>
      </c>
      <c r="D607">
        <v>101820.21</v>
      </c>
      <c r="E607">
        <v>1201</v>
      </c>
      <c r="F607">
        <v>1202</v>
      </c>
      <c r="G607" t="s">
        <v>618</v>
      </c>
      <c r="H607">
        <v>-26.8600000000005</v>
      </c>
      <c r="I607">
        <v>1</v>
      </c>
      <c r="J607" t="s">
        <v>16</v>
      </c>
      <c r="K607">
        <v>250.13</v>
      </c>
      <c r="L607">
        <v>250.3</v>
      </c>
      <c r="M607">
        <v>250.54</v>
      </c>
      <c r="N607">
        <v>249.96</v>
      </c>
      <c r="O607" s="1">
        <f t="shared" si="36"/>
        <v>6.7964658377639431E-4</v>
      </c>
      <c r="P607" s="1">
        <f t="shared" si="37"/>
        <v>9.5884938074308756E-4</v>
      </c>
      <c r="Q607" t="str">
        <f t="shared" si="38"/>
        <v>IDLE</v>
      </c>
      <c r="R607">
        <f t="shared" si="39"/>
        <v>0</v>
      </c>
    </row>
    <row r="608" spans="1:18" x14ac:dyDescent="0.2">
      <c r="A608" t="s">
        <v>14</v>
      </c>
      <c r="B608">
        <v>20240102</v>
      </c>
      <c r="C608">
        <v>101820.21</v>
      </c>
      <c r="D608">
        <v>101805.81</v>
      </c>
      <c r="E608">
        <v>1333</v>
      </c>
      <c r="F608">
        <v>1350</v>
      </c>
      <c r="G608" t="s">
        <v>619</v>
      </c>
      <c r="H608">
        <v>-14.400000000008699</v>
      </c>
      <c r="I608">
        <v>17</v>
      </c>
      <c r="J608" t="s">
        <v>16</v>
      </c>
      <c r="K608">
        <v>248.35</v>
      </c>
      <c r="L608">
        <v>248.84</v>
      </c>
      <c r="M608">
        <v>248.85</v>
      </c>
      <c r="N608">
        <v>248.66</v>
      </c>
      <c r="O608" s="1">
        <f t="shared" si="36"/>
        <v>1.9730219448359509E-3</v>
      </c>
      <c r="P608" s="1">
        <f t="shared" si="37"/>
        <v>4.0186465198432941E-5</v>
      </c>
      <c r="Q608" t="str">
        <f t="shared" si="38"/>
        <v>IDLE</v>
      </c>
      <c r="R608">
        <f t="shared" si="39"/>
        <v>0</v>
      </c>
    </row>
    <row r="609" spans="1:18" x14ac:dyDescent="0.2">
      <c r="A609" t="s">
        <v>14</v>
      </c>
      <c r="B609">
        <v>20240102</v>
      </c>
      <c r="C609">
        <v>101805.81</v>
      </c>
      <c r="D609">
        <v>101778.61</v>
      </c>
      <c r="E609">
        <v>1354</v>
      </c>
      <c r="F609">
        <v>1356</v>
      </c>
      <c r="G609" t="s">
        <v>620</v>
      </c>
      <c r="H609">
        <v>-27.199999999997001</v>
      </c>
      <c r="I609">
        <v>2</v>
      </c>
      <c r="J609" t="s">
        <v>16</v>
      </c>
      <c r="K609">
        <v>248.5</v>
      </c>
      <c r="L609">
        <v>248.57</v>
      </c>
      <c r="M609">
        <v>249.16</v>
      </c>
      <c r="N609">
        <v>248.23</v>
      </c>
      <c r="O609" s="1">
        <f t="shared" si="36"/>
        <v>2.8169014084511446E-4</v>
      </c>
      <c r="P609" s="1">
        <f t="shared" si="37"/>
        <v>2.3735768596371276E-3</v>
      </c>
      <c r="Q609" t="str">
        <f t="shared" si="38"/>
        <v>IDLE</v>
      </c>
      <c r="R609">
        <f t="shared" si="39"/>
        <v>0</v>
      </c>
    </row>
    <row r="610" spans="1:18" x14ac:dyDescent="0.2">
      <c r="A610" t="s">
        <v>14</v>
      </c>
      <c r="B610">
        <v>20240102</v>
      </c>
      <c r="C610">
        <v>101778.61</v>
      </c>
      <c r="D610">
        <v>101789.01</v>
      </c>
      <c r="E610">
        <v>1519</v>
      </c>
      <c r="F610">
        <v>1547</v>
      </c>
      <c r="G610" t="s">
        <v>621</v>
      </c>
      <c r="H610">
        <v>10.399999999994099</v>
      </c>
      <c r="I610">
        <v>28</v>
      </c>
      <c r="J610" t="s">
        <v>15</v>
      </c>
      <c r="K610">
        <v>246.87</v>
      </c>
      <c r="L610">
        <v>247.13</v>
      </c>
      <c r="M610">
        <v>247.37</v>
      </c>
      <c r="N610">
        <v>247</v>
      </c>
      <c r="O610" s="1">
        <f t="shared" si="36"/>
        <v>1.0531858873090716E-3</v>
      </c>
      <c r="P610" s="1">
        <f t="shared" si="37"/>
        <v>9.7114878808723937E-4</v>
      </c>
      <c r="Q610" t="str">
        <f t="shared" si="38"/>
        <v>SELL</v>
      </c>
      <c r="R610">
        <f t="shared" si="39"/>
        <v>10.399999999994099</v>
      </c>
    </row>
    <row r="611" spans="1:18" x14ac:dyDescent="0.2">
      <c r="A611" t="s">
        <v>14</v>
      </c>
      <c r="B611">
        <v>20240103</v>
      </c>
      <c r="C611">
        <v>101789.01</v>
      </c>
      <c r="D611">
        <v>101796.39</v>
      </c>
      <c r="E611">
        <v>933</v>
      </c>
      <c r="F611">
        <v>935</v>
      </c>
      <c r="G611" t="s">
        <v>622</v>
      </c>
      <c r="H611">
        <v>7.3800000000046504</v>
      </c>
      <c r="I611">
        <v>2</v>
      </c>
      <c r="J611" t="s">
        <v>15</v>
      </c>
      <c r="K611">
        <v>242.97</v>
      </c>
      <c r="L611">
        <v>242.09</v>
      </c>
      <c r="M611">
        <v>250.13</v>
      </c>
      <c r="N611">
        <v>242</v>
      </c>
      <c r="O611" s="1">
        <f t="shared" si="36"/>
        <v>-3.6218463184755079E-3</v>
      </c>
      <c r="P611" s="1">
        <f t="shared" si="37"/>
        <v>3.3210789375851979E-2</v>
      </c>
      <c r="Q611" t="str">
        <f t="shared" si="38"/>
        <v>IDLE</v>
      </c>
      <c r="R611">
        <f t="shared" si="39"/>
        <v>0</v>
      </c>
    </row>
    <row r="612" spans="1:18" x14ac:dyDescent="0.2">
      <c r="A612" t="s">
        <v>14</v>
      </c>
      <c r="B612">
        <v>20240103</v>
      </c>
      <c r="C612">
        <v>101796.39</v>
      </c>
      <c r="D612">
        <v>101881.67</v>
      </c>
      <c r="E612">
        <v>939</v>
      </c>
      <c r="F612">
        <v>946</v>
      </c>
      <c r="G612" t="s">
        <v>623</v>
      </c>
      <c r="H612">
        <v>85.279999999998793</v>
      </c>
      <c r="I612">
        <v>7</v>
      </c>
      <c r="J612" t="s">
        <v>15</v>
      </c>
      <c r="K612">
        <v>240.75</v>
      </c>
      <c r="L612">
        <v>242.03</v>
      </c>
      <c r="M612">
        <v>244.61</v>
      </c>
      <c r="N612">
        <v>240.99</v>
      </c>
      <c r="O612" s="1">
        <f t="shared" si="36"/>
        <v>5.3167185877467382E-3</v>
      </c>
      <c r="P612" s="1">
        <f t="shared" si="37"/>
        <v>1.0659835557575548E-2</v>
      </c>
      <c r="Q612" t="str">
        <f t="shared" si="38"/>
        <v>SELL</v>
      </c>
      <c r="R612">
        <f t="shared" si="39"/>
        <v>85.279999999998793</v>
      </c>
    </row>
    <row r="613" spans="1:18" x14ac:dyDescent="0.2">
      <c r="A613" t="s">
        <v>14</v>
      </c>
      <c r="B613">
        <v>20240103</v>
      </c>
      <c r="C613">
        <v>101881.67</v>
      </c>
      <c r="D613">
        <v>101828.55</v>
      </c>
      <c r="E613">
        <v>950</v>
      </c>
      <c r="F613">
        <v>951</v>
      </c>
      <c r="G613" t="s">
        <v>624</v>
      </c>
      <c r="H613">
        <v>-53.119999999995301</v>
      </c>
      <c r="I613">
        <v>1</v>
      </c>
      <c r="J613" t="s">
        <v>15</v>
      </c>
      <c r="K613">
        <v>240.17</v>
      </c>
      <c r="L613">
        <v>240.41</v>
      </c>
      <c r="M613">
        <v>241.95</v>
      </c>
      <c r="N613">
        <v>241.05</v>
      </c>
      <c r="O613" s="1">
        <f t="shared" si="36"/>
        <v>9.9929216804772736E-4</v>
      </c>
      <c r="P613" s="1">
        <f t="shared" si="37"/>
        <v>6.4057235555925462E-3</v>
      </c>
      <c r="Q613" t="str">
        <f t="shared" si="38"/>
        <v>SELL</v>
      </c>
      <c r="R613">
        <f t="shared" si="39"/>
        <v>-53.119999999995301</v>
      </c>
    </row>
    <row r="614" spans="1:18" x14ac:dyDescent="0.2">
      <c r="A614" t="s">
        <v>14</v>
      </c>
      <c r="B614">
        <v>20240103</v>
      </c>
      <c r="C614">
        <v>101828.55</v>
      </c>
      <c r="D614">
        <v>101797.84</v>
      </c>
      <c r="E614">
        <v>955</v>
      </c>
      <c r="F614">
        <v>1000</v>
      </c>
      <c r="G614" t="s">
        <v>625</v>
      </c>
      <c r="H614">
        <v>-30.710000000006399</v>
      </c>
      <c r="I614">
        <v>5</v>
      </c>
      <c r="J614" t="s">
        <v>15</v>
      </c>
      <c r="K614">
        <v>239.84</v>
      </c>
      <c r="L614">
        <v>239.48</v>
      </c>
      <c r="M614">
        <v>241.4</v>
      </c>
      <c r="N614">
        <v>239.85</v>
      </c>
      <c r="O614" s="1">
        <f t="shared" si="36"/>
        <v>-1.5010006671114517E-3</v>
      </c>
      <c r="P614" s="1">
        <f t="shared" si="37"/>
        <v>8.0173709704360885E-3</v>
      </c>
      <c r="Q614" t="str">
        <f t="shared" si="38"/>
        <v>IDLE</v>
      </c>
      <c r="R614">
        <f t="shared" si="39"/>
        <v>0</v>
      </c>
    </row>
    <row r="615" spans="1:18" x14ac:dyDescent="0.2">
      <c r="A615" t="s">
        <v>14</v>
      </c>
      <c r="B615">
        <v>20240103</v>
      </c>
      <c r="C615">
        <v>101797.84</v>
      </c>
      <c r="D615">
        <v>101746.38</v>
      </c>
      <c r="E615">
        <v>1004</v>
      </c>
      <c r="F615">
        <v>1005</v>
      </c>
      <c r="G615" t="s">
        <v>626</v>
      </c>
      <c r="H615">
        <v>-51.459999999991801</v>
      </c>
      <c r="I615">
        <v>1</v>
      </c>
      <c r="J615" t="s">
        <v>15</v>
      </c>
      <c r="K615">
        <v>238.86</v>
      </c>
      <c r="L615">
        <v>238.78</v>
      </c>
      <c r="M615">
        <v>240.22</v>
      </c>
      <c r="N615">
        <v>239.4</v>
      </c>
      <c r="O615" s="1">
        <f t="shared" si="36"/>
        <v>-3.3492422339453931E-4</v>
      </c>
      <c r="P615" s="1">
        <f t="shared" si="37"/>
        <v>6.0306558338218963E-3</v>
      </c>
      <c r="Q615" t="str">
        <f t="shared" si="38"/>
        <v>IDLE</v>
      </c>
      <c r="R615">
        <f t="shared" si="39"/>
        <v>0</v>
      </c>
    </row>
    <row r="616" spans="1:18" x14ac:dyDescent="0.2">
      <c r="A616" t="s">
        <v>14</v>
      </c>
      <c r="B616">
        <v>20240103</v>
      </c>
      <c r="C616">
        <v>101746.38</v>
      </c>
      <c r="D616">
        <v>101806.14</v>
      </c>
      <c r="E616">
        <v>1009</v>
      </c>
      <c r="F616">
        <v>1018</v>
      </c>
      <c r="G616" t="s">
        <v>627</v>
      </c>
      <c r="H616">
        <v>59.759999999994697</v>
      </c>
      <c r="I616">
        <v>9</v>
      </c>
      <c r="J616" t="s">
        <v>15</v>
      </c>
      <c r="K616">
        <v>238.49</v>
      </c>
      <c r="L616">
        <v>238.2</v>
      </c>
      <c r="M616">
        <v>240.33</v>
      </c>
      <c r="N616">
        <v>237.48</v>
      </c>
      <c r="O616" s="1">
        <f t="shared" si="36"/>
        <v>-1.2159838986960381E-3</v>
      </c>
      <c r="P616" s="1">
        <f t="shared" si="37"/>
        <v>8.9420654911840369E-3</v>
      </c>
      <c r="Q616" t="str">
        <f t="shared" si="38"/>
        <v>IDLE</v>
      </c>
      <c r="R616">
        <f t="shared" si="39"/>
        <v>0</v>
      </c>
    </row>
    <row r="617" spans="1:18" x14ac:dyDescent="0.2">
      <c r="A617" t="s">
        <v>14</v>
      </c>
      <c r="B617">
        <v>20240103</v>
      </c>
      <c r="C617">
        <v>101806.14</v>
      </c>
      <c r="D617">
        <v>101784.3</v>
      </c>
      <c r="E617">
        <v>1022</v>
      </c>
      <c r="F617">
        <v>1023</v>
      </c>
      <c r="G617" t="s">
        <v>628</v>
      </c>
      <c r="H617">
        <v>-21.8399999999965</v>
      </c>
      <c r="I617">
        <v>1</v>
      </c>
      <c r="J617" t="s">
        <v>15</v>
      </c>
      <c r="K617">
        <v>236.63</v>
      </c>
      <c r="L617">
        <v>237.19</v>
      </c>
      <c r="M617">
        <v>237.6</v>
      </c>
      <c r="N617">
        <v>237.45</v>
      </c>
      <c r="O617" s="1">
        <f t="shared" si="36"/>
        <v>2.3665638338334904E-3</v>
      </c>
      <c r="P617" s="1">
        <f t="shared" si="37"/>
        <v>1.7285720308612973E-3</v>
      </c>
      <c r="Q617" t="str">
        <f t="shared" si="38"/>
        <v>SELL</v>
      </c>
      <c r="R617">
        <f t="shared" si="39"/>
        <v>-21.8399999999965</v>
      </c>
    </row>
    <row r="618" spans="1:18" x14ac:dyDescent="0.2">
      <c r="A618" t="s">
        <v>14</v>
      </c>
      <c r="B618">
        <v>20240103</v>
      </c>
      <c r="C618">
        <v>101784.3</v>
      </c>
      <c r="D618">
        <v>101752.38</v>
      </c>
      <c r="E618">
        <v>1027</v>
      </c>
      <c r="F618">
        <v>1030</v>
      </c>
      <c r="G618" t="s">
        <v>629</v>
      </c>
      <c r="H618">
        <v>-31.9199999999982</v>
      </c>
      <c r="I618">
        <v>3</v>
      </c>
      <c r="J618" t="s">
        <v>15</v>
      </c>
      <c r="K618">
        <v>237.13</v>
      </c>
      <c r="L618">
        <v>237.77</v>
      </c>
      <c r="M618">
        <v>237.75</v>
      </c>
      <c r="N618">
        <v>238.15</v>
      </c>
      <c r="O618" s="1">
        <f t="shared" si="36"/>
        <v>2.6989415088769508E-3</v>
      </c>
      <c r="P618" s="1">
        <f t="shared" si="37"/>
        <v>-8.4114900954723737E-5</v>
      </c>
      <c r="Q618" t="str">
        <f t="shared" si="38"/>
        <v>SELL</v>
      </c>
      <c r="R618">
        <f t="shared" si="39"/>
        <v>-31.9199999999982</v>
      </c>
    </row>
    <row r="619" spans="1:18" x14ac:dyDescent="0.2">
      <c r="A619" t="s">
        <v>14</v>
      </c>
      <c r="B619">
        <v>20240103</v>
      </c>
      <c r="C619">
        <v>101752.38</v>
      </c>
      <c r="D619">
        <v>101724.66</v>
      </c>
      <c r="E619">
        <v>1034</v>
      </c>
      <c r="F619">
        <v>1035</v>
      </c>
      <c r="G619" t="s">
        <v>630</v>
      </c>
      <c r="H619">
        <v>-27.7200000000011</v>
      </c>
      <c r="I619">
        <v>1</v>
      </c>
      <c r="J619" t="s">
        <v>15</v>
      </c>
      <c r="K619">
        <v>237.37</v>
      </c>
      <c r="L619">
        <v>237.82</v>
      </c>
      <c r="M619">
        <v>238.3</v>
      </c>
      <c r="N619">
        <v>238.15</v>
      </c>
      <c r="O619" s="1">
        <f t="shared" si="36"/>
        <v>1.8957745292158545E-3</v>
      </c>
      <c r="P619" s="1">
        <f t="shared" si="37"/>
        <v>2.0183331931713511E-3</v>
      </c>
      <c r="Q619" t="str">
        <f t="shared" si="38"/>
        <v>SELL</v>
      </c>
      <c r="R619">
        <f t="shared" si="39"/>
        <v>-27.7200000000011</v>
      </c>
    </row>
    <row r="620" spans="1:18" x14ac:dyDescent="0.2">
      <c r="A620" t="s">
        <v>14</v>
      </c>
      <c r="B620">
        <v>20240103</v>
      </c>
      <c r="C620">
        <v>101724.66</v>
      </c>
      <c r="D620">
        <v>101701.14</v>
      </c>
      <c r="E620">
        <v>1039</v>
      </c>
      <c r="F620">
        <v>1040</v>
      </c>
      <c r="G620" t="s">
        <v>631</v>
      </c>
      <c r="H620">
        <v>-23.520000000004</v>
      </c>
      <c r="I620">
        <v>1</v>
      </c>
      <c r="J620" t="s">
        <v>15</v>
      </c>
      <c r="K620">
        <v>237.29</v>
      </c>
      <c r="L620">
        <v>237.44</v>
      </c>
      <c r="M620">
        <v>238.35</v>
      </c>
      <c r="N620">
        <v>237.72</v>
      </c>
      <c r="O620" s="1">
        <f t="shared" si="36"/>
        <v>6.3213789034510803E-4</v>
      </c>
      <c r="P620" s="1">
        <f t="shared" si="37"/>
        <v>3.8325471698112956E-3</v>
      </c>
      <c r="Q620" t="str">
        <f t="shared" si="38"/>
        <v>SELL</v>
      </c>
      <c r="R620">
        <f t="shared" si="39"/>
        <v>-23.520000000004</v>
      </c>
    </row>
    <row r="621" spans="1:18" x14ac:dyDescent="0.2">
      <c r="A621" t="s">
        <v>14</v>
      </c>
      <c r="B621">
        <v>20240103</v>
      </c>
      <c r="C621">
        <v>101701.14</v>
      </c>
      <c r="D621">
        <v>101638.89</v>
      </c>
      <c r="E621">
        <v>1117</v>
      </c>
      <c r="F621">
        <v>1125</v>
      </c>
      <c r="G621" t="s">
        <v>632</v>
      </c>
      <c r="H621">
        <v>-62.25</v>
      </c>
      <c r="I621">
        <v>8</v>
      </c>
      <c r="J621" t="s">
        <v>15</v>
      </c>
      <c r="K621">
        <v>238.61</v>
      </c>
      <c r="L621">
        <v>238.4</v>
      </c>
      <c r="M621">
        <v>239.27</v>
      </c>
      <c r="N621">
        <v>239.15</v>
      </c>
      <c r="O621" s="1">
        <f t="shared" si="36"/>
        <v>-8.8009722978921179E-4</v>
      </c>
      <c r="P621" s="1">
        <f t="shared" si="37"/>
        <v>3.6493288590604411E-3</v>
      </c>
      <c r="Q621" t="str">
        <f t="shared" si="38"/>
        <v>IDLE</v>
      </c>
      <c r="R621">
        <f t="shared" si="39"/>
        <v>0</v>
      </c>
    </row>
    <row r="622" spans="1:18" x14ac:dyDescent="0.2">
      <c r="A622" t="s">
        <v>14</v>
      </c>
      <c r="B622">
        <v>20240103</v>
      </c>
      <c r="C622">
        <v>101638.89</v>
      </c>
      <c r="D622">
        <v>101627.27</v>
      </c>
      <c r="E622">
        <v>1129</v>
      </c>
      <c r="F622">
        <v>1131</v>
      </c>
      <c r="G622" t="s">
        <v>633</v>
      </c>
      <c r="H622">
        <v>-11.619999999995301</v>
      </c>
      <c r="I622">
        <v>2</v>
      </c>
      <c r="J622" t="s">
        <v>15</v>
      </c>
      <c r="K622">
        <v>238.46</v>
      </c>
      <c r="L622">
        <v>239.04</v>
      </c>
      <c r="M622">
        <v>239.23</v>
      </c>
      <c r="N622">
        <v>239.18</v>
      </c>
      <c r="O622" s="1">
        <f t="shared" si="36"/>
        <v>2.4322737566047081E-3</v>
      </c>
      <c r="P622" s="1">
        <f t="shared" si="37"/>
        <v>7.9484605087021265E-4</v>
      </c>
      <c r="Q622" t="str">
        <f t="shared" si="38"/>
        <v>SELL</v>
      </c>
      <c r="R622">
        <f t="shared" si="39"/>
        <v>-11.619999999995301</v>
      </c>
    </row>
    <row r="623" spans="1:18" x14ac:dyDescent="0.2">
      <c r="A623" t="s">
        <v>14</v>
      </c>
      <c r="B623">
        <v>20240103</v>
      </c>
      <c r="C623">
        <v>101627.27</v>
      </c>
      <c r="D623">
        <v>101638.06</v>
      </c>
      <c r="E623">
        <v>1135</v>
      </c>
      <c r="F623">
        <v>1142</v>
      </c>
      <c r="G623" t="s">
        <v>634</v>
      </c>
      <c r="H623">
        <v>10.789999999993499</v>
      </c>
      <c r="I623">
        <v>7</v>
      </c>
      <c r="J623" t="s">
        <v>15</v>
      </c>
      <c r="K623">
        <v>238.95</v>
      </c>
      <c r="L623">
        <v>239.2</v>
      </c>
      <c r="M623">
        <v>239.4</v>
      </c>
      <c r="N623">
        <v>239.07</v>
      </c>
      <c r="O623" s="1">
        <f t="shared" si="36"/>
        <v>1.0462439840970283E-3</v>
      </c>
      <c r="P623" s="1">
        <f t="shared" si="37"/>
        <v>8.361204013378476E-4</v>
      </c>
      <c r="Q623" t="str">
        <f t="shared" si="38"/>
        <v>SELL</v>
      </c>
      <c r="R623">
        <f t="shared" si="39"/>
        <v>10.789999999993499</v>
      </c>
    </row>
    <row r="624" spans="1:18" x14ac:dyDescent="0.2">
      <c r="A624" t="s">
        <v>14</v>
      </c>
      <c r="B624">
        <v>20240103</v>
      </c>
      <c r="C624">
        <v>101638.06</v>
      </c>
      <c r="D624">
        <v>101633.91</v>
      </c>
      <c r="E624">
        <v>1407</v>
      </c>
      <c r="F624">
        <v>1410</v>
      </c>
      <c r="G624" t="s">
        <v>635</v>
      </c>
      <c r="H624">
        <v>-4.1499999999941704</v>
      </c>
      <c r="I624">
        <v>3</v>
      </c>
      <c r="J624" t="s">
        <v>15</v>
      </c>
      <c r="K624">
        <v>239.2</v>
      </c>
      <c r="L624">
        <v>240.24</v>
      </c>
      <c r="M624">
        <v>240.97</v>
      </c>
      <c r="N624">
        <v>240.29</v>
      </c>
      <c r="O624" s="1">
        <f t="shared" si="36"/>
        <v>4.3478260869564966E-3</v>
      </c>
      <c r="P624" s="1">
        <f t="shared" si="37"/>
        <v>3.0386280386280884E-3</v>
      </c>
      <c r="Q624" t="str">
        <f t="shared" si="38"/>
        <v>SELL</v>
      </c>
      <c r="R624">
        <f t="shared" si="39"/>
        <v>-4.1499999999941704</v>
      </c>
    </row>
    <row r="625" spans="1:18" x14ac:dyDescent="0.2">
      <c r="A625" t="s">
        <v>14</v>
      </c>
      <c r="B625">
        <v>20240103</v>
      </c>
      <c r="C625">
        <v>101633.91</v>
      </c>
      <c r="D625">
        <v>101610.67</v>
      </c>
      <c r="E625">
        <v>1414</v>
      </c>
      <c r="F625">
        <v>1416</v>
      </c>
      <c r="G625" t="s">
        <v>636</v>
      </c>
      <c r="H625">
        <v>-23.2400000000052</v>
      </c>
      <c r="I625">
        <v>2</v>
      </c>
      <c r="J625" t="s">
        <v>15</v>
      </c>
      <c r="K625">
        <v>239.26</v>
      </c>
      <c r="L625">
        <v>239.62</v>
      </c>
      <c r="M625">
        <v>240.51</v>
      </c>
      <c r="N625">
        <v>239.9</v>
      </c>
      <c r="O625" s="1">
        <f t="shared" si="36"/>
        <v>1.5046393045223816E-3</v>
      </c>
      <c r="P625" s="1">
        <f t="shared" si="37"/>
        <v>3.7142141724395561E-3</v>
      </c>
      <c r="Q625" t="str">
        <f t="shared" si="38"/>
        <v>SELL</v>
      </c>
      <c r="R625">
        <f t="shared" si="39"/>
        <v>-23.2400000000052</v>
      </c>
    </row>
    <row r="626" spans="1:18" x14ac:dyDescent="0.2">
      <c r="A626" t="s">
        <v>14</v>
      </c>
      <c r="B626">
        <v>20240103</v>
      </c>
      <c r="C626">
        <v>101610.67</v>
      </c>
      <c r="D626">
        <v>101611.5</v>
      </c>
      <c r="E626">
        <v>1420</v>
      </c>
      <c r="F626">
        <v>1424</v>
      </c>
      <c r="G626" t="s">
        <v>637</v>
      </c>
      <c r="H626">
        <v>0.83000000000174601</v>
      </c>
      <c r="I626">
        <v>4</v>
      </c>
      <c r="J626" t="s">
        <v>15</v>
      </c>
      <c r="K626">
        <v>239.49</v>
      </c>
      <c r="L626">
        <v>239.63</v>
      </c>
      <c r="M626">
        <v>240.22</v>
      </c>
      <c r="N626">
        <v>239.62</v>
      </c>
      <c r="O626" s="1">
        <f t="shared" si="36"/>
        <v>5.8457555639068737E-4</v>
      </c>
      <c r="P626" s="1">
        <f t="shared" si="37"/>
        <v>2.4621291157200798E-3</v>
      </c>
      <c r="Q626" t="str">
        <f t="shared" si="38"/>
        <v>SELL</v>
      </c>
      <c r="R626">
        <f t="shared" si="39"/>
        <v>0.83000000000174601</v>
      </c>
    </row>
    <row r="627" spans="1:18" x14ac:dyDescent="0.2">
      <c r="A627" t="s">
        <v>14</v>
      </c>
      <c r="B627">
        <v>20240103</v>
      </c>
      <c r="C627">
        <v>101611.5</v>
      </c>
      <c r="D627">
        <v>101574.98</v>
      </c>
      <c r="E627">
        <v>1527</v>
      </c>
      <c r="F627">
        <v>1529</v>
      </c>
      <c r="G627" t="s">
        <v>638</v>
      </c>
      <c r="H627">
        <v>-36.520000000004003</v>
      </c>
      <c r="I627">
        <v>2</v>
      </c>
      <c r="J627" t="s">
        <v>15</v>
      </c>
      <c r="K627">
        <v>238.81</v>
      </c>
      <c r="L627">
        <v>238.81</v>
      </c>
      <c r="M627">
        <v>239.44</v>
      </c>
      <c r="N627">
        <v>239.25</v>
      </c>
      <c r="O627" s="1">
        <f t="shared" si="36"/>
        <v>0</v>
      </c>
      <c r="P627" s="1">
        <f t="shared" si="37"/>
        <v>2.6380804823917803E-3</v>
      </c>
      <c r="Q627" t="str">
        <f t="shared" si="38"/>
        <v>IDLE</v>
      </c>
      <c r="R627">
        <f t="shared" si="39"/>
        <v>0</v>
      </c>
    </row>
    <row r="628" spans="1:18" x14ac:dyDescent="0.2">
      <c r="A628" t="s">
        <v>14</v>
      </c>
      <c r="B628">
        <v>20240103</v>
      </c>
      <c r="C628">
        <v>101574.98</v>
      </c>
      <c r="D628">
        <v>101639.72</v>
      </c>
      <c r="E628">
        <v>1533</v>
      </c>
      <c r="F628">
        <v>1555</v>
      </c>
      <c r="G628" t="s">
        <v>639</v>
      </c>
      <c r="H628">
        <v>64.740000000005196</v>
      </c>
      <c r="I628">
        <v>22</v>
      </c>
      <c r="J628" t="s">
        <v>15</v>
      </c>
      <c r="K628">
        <v>238.74</v>
      </c>
      <c r="L628">
        <v>239.5</v>
      </c>
      <c r="M628">
        <v>239.55</v>
      </c>
      <c r="N628">
        <v>238.72</v>
      </c>
      <c r="O628" s="1">
        <f t="shared" si="36"/>
        <v>3.1833794085616152E-3</v>
      </c>
      <c r="P628" s="1">
        <f t="shared" si="37"/>
        <v>2.0876826722338038E-4</v>
      </c>
      <c r="Q628" t="str">
        <f t="shared" si="38"/>
        <v>SELL</v>
      </c>
      <c r="R628">
        <f t="shared" si="39"/>
        <v>64.740000000005196</v>
      </c>
    </row>
    <row r="629" spans="1:18" x14ac:dyDescent="0.2">
      <c r="A629" t="s">
        <v>14</v>
      </c>
      <c r="B629">
        <v>20240104</v>
      </c>
      <c r="C629">
        <v>101639.72</v>
      </c>
      <c r="D629">
        <v>101687.03</v>
      </c>
      <c r="E629">
        <v>1034</v>
      </c>
      <c r="F629">
        <v>1055</v>
      </c>
      <c r="G629" t="s">
        <v>640</v>
      </c>
      <c r="H629">
        <v>47.309999999997601</v>
      </c>
      <c r="I629">
        <v>21</v>
      </c>
      <c r="J629" t="s">
        <v>16</v>
      </c>
      <c r="K629">
        <v>240.14</v>
      </c>
      <c r="L629">
        <v>240.74</v>
      </c>
      <c r="M629">
        <v>241.03</v>
      </c>
      <c r="N629">
        <v>241.31</v>
      </c>
      <c r="O629" s="1">
        <f t="shared" si="36"/>
        <v>2.4985425168653208E-3</v>
      </c>
      <c r="P629" s="1">
        <f t="shared" si="37"/>
        <v>1.2046190911356724E-3</v>
      </c>
      <c r="Q629" t="str">
        <f t="shared" si="38"/>
        <v>IDLE</v>
      </c>
      <c r="R629">
        <f t="shared" si="39"/>
        <v>0</v>
      </c>
    </row>
    <row r="630" spans="1:18" x14ac:dyDescent="0.2">
      <c r="A630" t="s">
        <v>14</v>
      </c>
      <c r="B630">
        <v>20240104</v>
      </c>
      <c r="C630">
        <v>101687.03</v>
      </c>
      <c r="D630">
        <v>101678.83</v>
      </c>
      <c r="E630">
        <v>1109</v>
      </c>
      <c r="F630">
        <v>1124</v>
      </c>
      <c r="G630" t="s">
        <v>641</v>
      </c>
      <c r="H630">
        <v>-8.1999999999970896</v>
      </c>
      <c r="I630">
        <v>15</v>
      </c>
      <c r="J630" t="s">
        <v>16</v>
      </c>
      <c r="K630">
        <v>241.33</v>
      </c>
      <c r="L630">
        <v>242.03</v>
      </c>
      <c r="M630">
        <v>242.18</v>
      </c>
      <c r="N630">
        <v>241.93</v>
      </c>
      <c r="O630" s="1">
        <f t="shared" si="36"/>
        <v>2.9005925496208285E-3</v>
      </c>
      <c r="P630" s="1">
        <f t="shared" si="37"/>
        <v>6.1975788125434583E-4</v>
      </c>
      <c r="Q630" t="str">
        <f t="shared" si="38"/>
        <v>IDLE</v>
      </c>
      <c r="R630">
        <f t="shared" si="39"/>
        <v>0</v>
      </c>
    </row>
    <row r="631" spans="1:18" x14ac:dyDescent="0.2">
      <c r="A631" t="s">
        <v>14</v>
      </c>
      <c r="B631">
        <v>20240104</v>
      </c>
      <c r="C631">
        <v>101678.83</v>
      </c>
      <c r="D631">
        <v>101655.05</v>
      </c>
      <c r="E631">
        <v>1128</v>
      </c>
      <c r="F631">
        <v>1130</v>
      </c>
      <c r="G631" t="s">
        <v>642</v>
      </c>
      <c r="H631">
        <v>-23.7799999999988</v>
      </c>
      <c r="I631">
        <v>2</v>
      </c>
      <c r="J631" t="s">
        <v>16</v>
      </c>
      <c r="K631">
        <v>241.77</v>
      </c>
      <c r="L631">
        <v>241.81</v>
      </c>
      <c r="M631">
        <v>242.11</v>
      </c>
      <c r="N631">
        <v>241.52</v>
      </c>
      <c r="O631" s="1">
        <f t="shared" si="36"/>
        <v>1.6544649873839745E-4</v>
      </c>
      <c r="P631" s="1">
        <f t="shared" si="37"/>
        <v>1.240643480418635E-3</v>
      </c>
      <c r="Q631" t="str">
        <f t="shared" si="38"/>
        <v>IDLE</v>
      </c>
      <c r="R631">
        <f t="shared" si="39"/>
        <v>0</v>
      </c>
    </row>
    <row r="632" spans="1:18" x14ac:dyDescent="0.2">
      <c r="A632" t="s">
        <v>14</v>
      </c>
      <c r="B632">
        <v>20240104</v>
      </c>
      <c r="C632">
        <v>101655.05</v>
      </c>
      <c r="D632">
        <v>101645.92</v>
      </c>
      <c r="E632">
        <v>1434</v>
      </c>
      <c r="F632">
        <v>1436</v>
      </c>
      <c r="G632" t="s">
        <v>643</v>
      </c>
      <c r="H632">
        <v>-9.1300000000046495</v>
      </c>
      <c r="I632">
        <v>2</v>
      </c>
      <c r="J632" t="s">
        <v>15</v>
      </c>
      <c r="K632">
        <v>238.97</v>
      </c>
      <c r="L632">
        <v>239.17</v>
      </c>
      <c r="M632">
        <v>239.32</v>
      </c>
      <c r="N632">
        <v>239.28</v>
      </c>
      <c r="O632" s="1">
        <f t="shared" si="36"/>
        <v>8.3692513704636262E-4</v>
      </c>
      <c r="P632" s="1">
        <f t="shared" si="37"/>
        <v>6.271689593175811E-4</v>
      </c>
      <c r="Q632" t="str">
        <f t="shared" si="38"/>
        <v>SELL</v>
      </c>
      <c r="R632">
        <f t="shared" si="39"/>
        <v>-9.1300000000046495</v>
      </c>
    </row>
    <row r="633" spans="1:18" x14ac:dyDescent="0.2">
      <c r="A633" t="s">
        <v>14</v>
      </c>
      <c r="B633">
        <v>20240104</v>
      </c>
      <c r="C633">
        <v>101645.92</v>
      </c>
      <c r="D633">
        <v>101621.02</v>
      </c>
      <c r="E633">
        <v>1440</v>
      </c>
      <c r="F633">
        <v>1450</v>
      </c>
      <c r="G633" t="s">
        <v>644</v>
      </c>
      <c r="H633">
        <v>-24.899999999994101</v>
      </c>
      <c r="I633">
        <v>10</v>
      </c>
      <c r="J633" t="s">
        <v>15</v>
      </c>
      <c r="K633">
        <v>239.04</v>
      </c>
      <c r="L633">
        <v>239.23</v>
      </c>
      <c r="M633">
        <v>239.29</v>
      </c>
      <c r="N633">
        <v>239.53</v>
      </c>
      <c r="O633" s="1">
        <f t="shared" si="36"/>
        <v>7.9484605087021265E-4</v>
      </c>
      <c r="P633" s="1">
        <f t="shared" si="37"/>
        <v>2.508046649667417E-4</v>
      </c>
      <c r="Q633" t="str">
        <f t="shared" si="38"/>
        <v>SELL</v>
      </c>
      <c r="R633">
        <f t="shared" si="39"/>
        <v>-24.899999999994101</v>
      </c>
    </row>
    <row r="634" spans="1:18" x14ac:dyDescent="0.2">
      <c r="A634" t="s">
        <v>14</v>
      </c>
      <c r="B634">
        <v>20240104</v>
      </c>
      <c r="C634">
        <v>101621.02</v>
      </c>
      <c r="D634">
        <v>101591.97</v>
      </c>
      <c r="E634">
        <v>1517</v>
      </c>
      <c r="F634">
        <v>1519</v>
      </c>
      <c r="G634" t="s">
        <v>645</v>
      </c>
      <c r="H634">
        <v>-29.0500000000029</v>
      </c>
      <c r="I634">
        <v>2</v>
      </c>
      <c r="J634" t="s">
        <v>15</v>
      </c>
      <c r="K634">
        <v>239.35</v>
      </c>
      <c r="L634">
        <v>239.23</v>
      </c>
      <c r="M634">
        <v>240.16</v>
      </c>
      <c r="N634">
        <v>239.58</v>
      </c>
      <c r="O634" s="1">
        <f t="shared" si="36"/>
        <v>-5.0135784416127649E-4</v>
      </c>
      <c r="P634" s="1">
        <f t="shared" si="37"/>
        <v>3.8874723069848294E-3</v>
      </c>
      <c r="Q634" t="str">
        <f t="shared" si="38"/>
        <v>IDLE</v>
      </c>
      <c r="R634">
        <f t="shared" si="39"/>
        <v>0</v>
      </c>
    </row>
    <row r="635" spans="1:18" x14ac:dyDescent="0.2">
      <c r="A635" t="s">
        <v>14</v>
      </c>
      <c r="B635">
        <v>20240104</v>
      </c>
      <c r="C635">
        <v>101591.97</v>
      </c>
      <c r="D635">
        <v>101574.54</v>
      </c>
      <c r="E635">
        <v>1523</v>
      </c>
      <c r="F635">
        <v>1525</v>
      </c>
      <c r="G635" t="s">
        <v>646</v>
      </c>
      <c r="H635">
        <v>-17.430000000007499</v>
      </c>
      <c r="I635">
        <v>2</v>
      </c>
      <c r="J635" t="s">
        <v>15</v>
      </c>
      <c r="K635">
        <v>239.26</v>
      </c>
      <c r="L635">
        <v>239.71</v>
      </c>
      <c r="M635">
        <v>239.74</v>
      </c>
      <c r="N635">
        <v>239.92</v>
      </c>
      <c r="O635" s="1">
        <f t="shared" si="36"/>
        <v>1.880799130652866E-3</v>
      </c>
      <c r="P635" s="1">
        <f t="shared" si="37"/>
        <v>1.2515122439604731E-4</v>
      </c>
      <c r="Q635" t="str">
        <f t="shared" si="38"/>
        <v>SELL</v>
      </c>
      <c r="R635">
        <f t="shared" si="39"/>
        <v>-17.430000000007499</v>
      </c>
    </row>
    <row r="636" spans="1:18" x14ac:dyDescent="0.2">
      <c r="A636" t="s">
        <v>14</v>
      </c>
      <c r="B636">
        <v>20240104</v>
      </c>
      <c r="C636">
        <v>101574.54</v>
      </c>
      <c r="D636">
        <v>101568.73</v>
      </c>
      <c r="E636">
        <v>1529</v>
      </c>
      <c r="F636">
        <v>1530</v>
      </c>
      <c r="G636" t="s">
        <v>647</v>
      </c>
      <c r="H636">
        <v>-5.8099999999976699</v>
      </c>
      <c r="I636">
        <v>1</v>
      </c>
      <c r="J636" t="s">
        <v>15</v>
      </c>
      <c r="K636">
        <v>239.42</v>
      </c>
      <c r="L636">
        <v>239.86</v>
      </c>
      <c r="M636">
        <v>239.97</v>
      </c>
      <c r="N636">
        <v>239.93</v>
      </c>
      <c r="O636" s="1">
        <f t="shared" si="36"/>
        <v>1.8377746220032964E-3</v>
      </c>
      <c r="P636" s="1">
        <f t="shared" si="37"/>
        <v>4.5860085049609367E-4</v>
      </c>
      <c r="Q636" t="str">
        <f t="shared" si="38"/>
        <v>SELL</v>
      </c>
      <c r="R636">
        <f t="shared" si="39"/>
        <v>-5.8099999999976699</v>
      </c>
    </row>
    <row r="637" spans="1:18" x14ac:dyDescent="0.2">
      <c r="A637" t="s">
        <v>14</v>
      </c>
      <c r="B637">
        <v>20240104</v>
      </c>
      <c r="C637">
        <v>101568.73</v>
      </c>
      <c r="D637">
        <v>101662.52</v>
      </c>
      <c r="E637">
        <v>1545</v>
      </c>
      <c r="F637">
        <v>1557</v>
      </c>
      <c r="G637" t="s">
        <v>648</v>
      </c>
      <c r="H637">
        <v>93.790000000008106</v>
      </c>
      <c r="I637">
        <v>12</v>
      </c>
      <c r="J637" t="s">
        <v>15</v>
      </c>
      <c r="K637">
        <v>239.12</v>
      </c>
      <c r="L637">
        <v>239.18</v>
      </c>
      <c r="M637">
        <v>239.96</v>
      </c>
      <c r="N637">
        <v>238.05</v>
      </c>
      <c r="O637" s="1">
        <f t="shared" si="36"/>
        <v>2.5092004014726221E-4</v>
      </c>
      <c r="P637" s="1">
        <f t="shared" si="37"/>
        <v>3.261142235972958E-3</v>
      </c>
      <c r="Q637" t="str">
        <f t="shared" si="38"/>
        <v>SELL</v>
      </c>
      <c r="R637">
        <f t="shared" si="39"/>
        <v>93.790000000008106</v>
      </c>
    </row>
    <row r="638" spans="1:18" x14ac:dyDescent="0.2">
      <c r="A638" t="s">
        <v>14</v>
      </c>
      <c r="B638">
        <v>20240105</v>
      </c>
      <c r="C638">
        <v>101662.52</v>
      </c>
      <c r="D638">
        <v>101618.84</v>
      </c>
      <c r="E638">
        <v>933</v>
      </c>
      <c r="F638">
        <v>934</v>
      </c>
      <c r="G638" t="s">
        <v>649</v>
      </c>
      <c r="H638">
        <v>-43.680000000007503</v>
      </c>
      <c r="I638">
        <v>1</v>
      </c>
      <c r="J638" t="s">
        <v>15</v>
      </c>
      <c r="K638">
        <v>236.2</v>
      </c>
      <c r="L638">
        <v>236.19</v>
      </c>
      <c r="M638">
        <v>238.6</v>
      </c>
      <c r="N638">
        <v>236.71</v>
      </c>
      <c r="O638" s="1">
        <f t="shared" si="36"/>
        <v>-4.233700254019368E-5</v>
      </c>
      <c r="P638" s="1">
        <f t="shared" si="37"/>
        <v>1.0203649604132226E-2</v>
      </c>
      <c r="Q638" t="str">
        <f t="shared" si="38"/>
        <v>IDLE</v>
      </c>
      <c r="R638">
        <f t="shared" si="39"/>
        <v>0</v>
      </c>
    </row>
    <row r="639" spans="1:18" x14ac:dyDescent="0.2">
      <c r="A639" t="s">
        <v>14</v>
      </c>
      <c r="B639">
        <v>20240105</v>
      </c>
      <c r="C639">
        <v>101618.84</v>
      </c>
      <c r="D639">
        <v>101636.48</v>
      </c>
      <c r="E639">
        <v>938</v>
      </c>
      <c r="F639">
        <v>946</v>
      </c>
      <c r="G639" t="s">
        <v>650</v>
      </c>
      <c r="H639">
        <v>17.6399999999994</v>
      </c>
      <c r="I639">
        <v>8</v>
      </c>
      <c r="J639" t="s">
        <v>15</v>
      </c>
      <c r="K639">
        <v>235.98</v>
      </c>
      <c r="L639">
        <v>236.64</v>
      </c>
      <c r="M639">
        <v>237.52</v>
      </c>
      <c r="N639">
        <v>236.43</v>
      </c>
      <c r="O639" s="1">
        <f t="shared" si="36"/>
        <v>2.7968471904398218E-3</v>
      </c>
      <c r="P639" s="1">
        <f t="shared" si="37"/>
        <v>3.7187288708588895E-3</v>
      </c>
      <c r="Q639" t="str">
        <f t="shared" si="38"/>
        <v>SELL</v>
      </c>
      <c r="R639">
        <f t="shared" si="39"/>
        <v>17.6399999999994</v>
      </c>
    </row>
    <row r="640" spans="1:18" x14ac:dyDescent="0.2">
      <c r="A640" t="s">
        <v>14</v>
      </c>
      <c r="B640">
        <v>20240105</v>
      </c>
      <c r="C640">
        <v>101636.48</v>
      </c>
      <c r="D640">
        <v>101612.41</v>
      </c>
      <c r="E640">
        <v>1031</v>
      </c>
      <c r="F640">
        <v>1043</v>
      </c>
      <c r="G640" t="s">
        <v>651</v>
      </c>
      <c r="H640">
        <v>-24.069999999992401</v>
      </c>
      <c r="I640">
        <v>12</v>
      </c>
      <c r="J640" t="s">
        <v>16</v>
      </c>
      <c r="K640">
        <v>239.06</v>
      </c>
      <c r="L640">
        <v>239.46</v>
      </c>
      <c r="M640">
        <v>239.52</v>
      </c>
      <c r="N640">
        <v>239.17</v>
      </c>
      <c r="O640" s="1">
        <f t="shared" si="36"/>
        <v>1.6732201121056889E-3</v>
      </c>
      <c r="P640" s="1">
        <f t="shared" si="37"/>
        <v>2.5056376847909512E-4</v>
      </c>
      <c r="Q640" t="str">
        <f t="shared" si="38"/>
        <v>IDLE</v>
      </c>
      <c r="R640">
        <f t="shared" si="39"/>
        <v>0</v>
      </c>
    </row>
    <row r="641" spans="1:18" x14ac:dyDescent="0.2">
      <c r="A641" t="s">
        <v>14</v>
      </c>
      <c r="B641">
        <v>20240105</v>
      </c>
      <c r="C641">
        <v>101612.41</v>
      </c>
      <c r="D641">
        <v>101594.15</v>
      </c>
      <c r="E641">
        <v>1047</v>
      </c>
      <c r="F641">
        <v>1050</v>
      </c>
      <c r="G641" t="s">
        <v>652</v>
      </c>
      <c r="H641">
        <v>-18.260000000009299</v>
      </c>
      <c r="I641">
        <v>3</v>
      </c>
      <c r="J641" t="s">
        <v>16</v>
      </c>
      <c r="K641">
        <v>239.21</v>
      </c>
      <c r="L641">
        <v>239.81</v>
      </c>
      <c r="M641">
        <v>239.94</v>
      </c>
      <c r="N641">
        <v>239.59</v>
      </c>
      <c r="O641" s="1">
        <f t="shared" si="36"/>
        <v>2.5082563437983652E-3</v>
      </c>
      <c r="P641" s="1">
        <f t="shared" si="37"/>
        <v>5.4209582586217664E-4</v>
      </c>
      <c r="Q641" t="str">
        <f t="shared" si="38"/>
        <v>IDLE</v>
      </c>
      <c r="R641">
        <f t="shared" si="39"/>
        <v>0</v>
      </c>
    </row>
    <row r="642" spans="1:18" x14ac:dyDescent="0.2">
      <c r="A642" t="s">
        <v>14</v>
      </c>
      <c r="B642">
        <v>20240105</v>
      </c>
      <c r="C642">
        <v>101594.15</v>
      </c>
      <c r="D642">
        <v>101572.57</v>
      </c>
      <c r="E642">
        <v>1054</v>
      </c>
      <c r="F642">
        <v>1057</v>
      </c>
      <c r="G642" t="s">
        <v>653</v>
      </c>
      <c r="H642">
        <v>-21.579999999987098</v>
      </c>
      <c r="I642">
        <v>3</v>
      </c>
      <c r="J642" t="s">
        <v>16</v>
      </c>
      <c r="K642">
        <v>239.33</v>
      </c>
      <c r="L642">
        <v>239.37</v>
      </c>
      <c r="M642">
        <v>240</v>
      </c>
      <c r="N642">
        <v>239.11</v>
      </c>
      <c r="O642" s="1">
        <f t="shared" si="36"/>
        <v>1.6713324698103271E-4</v>
      </c>
      <c r="P642" s="1">
        <f t="shared" si="37"/>
        <v>2.6319087604962377E-3</v>
      </c>
      <c r="Q642" t="str">
        <f t="shared" si="38"/>
        <v>IDLE</v>
      </c>
      <c r="R642">
        <f t="shared" si="39"/>
        <v>0</v>
      </c>
    </row>
    <row r="643" spans="1:18" x14ac:dyDescent="0.2">
      <c r="A643" t="s">
        <v>14</v>
      </c>
      <c r="B643">
        <v>20240105</v>
      </c>
      <c r="C643">
        <v>101572.57</v>
      </c>
      <c r="D643">
        <v>101533.56</v>
      </c>
      <c r="E643">
        <v>1101</v>
      </c>
      <c r="F643">
        <v>1104</v>
      </c>
      <c r="G643" t="s">
        <v>654</v>
      </c>
      <c r="H643">
        <v>-39.010000000009299</v>
      </c>
      <c r="I643">
        <v>3</v>
      </c>
      <c r="J643" t="s">
        <v>16</v>
      </c>
      <c r="K643">
        <v>239.12</v>
      </c>
      <c r="L643">
        <v>239.65</v>
      </c>
      <c r="M643">
        <v>239.59</v>
      </c>
      <c r="N643">
        <v>239.18</v>
      </c>
      <c r="O643" s="1">
        <f t="shared" si="36"/>
        <v>2.2164603546337425E-3</v>
      </c>
      <c r="P643" s="1">
        <f t="shared" si="37"/>
        <v>-2.5036511579390464E-4</v>
      </c>
      <c r="Q643" t="str">
        <f t="shared" si="38"/>
        <v>IDLE</v>
      </c>
      <c r="R643">
        <f t="shared" si="39"/>
        <v>0</v>
      </c>
    </row>
    <row r="644" spans="1:18" x14ac:dyDescent="0.2">
      <c r="A644" t="s">
        <v>14</v>
      </c>
      <c r="B644">
        <v>20240105</v>
      </c>
      <c r="C644">
        <v>101533.56</v>
      </c>
      <c r="D644">
        <v>101521.11</v>
      </c>
      <c r="E644">
        <v>1108</v>
      </c>
      <c r="F644">
        <v>1110</v>
      </c>
      <c r="G644" t="s">
        <v>655</v>
      </c>
      <c r="H644">
        <v>-12.449999999997001</v>
      </c>
      <c r="I644">
        <v>2</v>
      </c>
      <c r="J644" t="s">
        <v>16</v>
      </c>
      <c r="K644">
        <v>239.04</v>
      </c>
      <c r="L644">
        <v>239.05</v>
      </c>
      <c r="M644">
        <v>239.66</v>
      </c>
      <c r="N644">
        <v>238.9</v>
      </c>
      <c r="O644" s="1">
        <f t="shared" ref="O644:O707" si="40">(L644/K644)-1</f>
        <v>4.1834002677543225E-5</v>
      </c>
      <c r="P644" s="1">
        <f t="shared" ref="P644:P707" si="41">(M644/L644)-1</f>
        <v>2.5517674126751544E-3</v>
      </c>
      <c r="Q644" t="str">
        <f t="shared" ref="Q644:Q707" si="42">IF(J644="SELL",IF(O644&gt;=$O$1,"SELL","IDLE"),IF(P644&gt;=$P$1,"BUY","IDLE"))</f>
        <v>IDLE</v>
      </c>
      <c r="R644">
        <f t="shared" ref="R644:R707" si="43">IF(Q644&lt;&gt;"IDLE",H644,0)</f>
        <v>0</v>
      </c>
    </row>
    <row r="645" spans="1:18" x14ac:dyDescent="0.2">
      <c r="A645" t="s">
        <v>14</v>
      </c>
      <c r="B645">
        <v>20240105</v>
      </c>
      <c r="C645">
        <v>101521.11</v>
      </c>
      <c r="D645">
        <v>101504.31</v>
      </c>
      <c r="E645">
        <v>1234</v>
      </c>
      <c r="F645">
        <v>1235</v>
      </c>
      <c r="G645" t="s">
        <v>656</v>
      </c>
      <c r="H645">
        <v>-16.8000000000029</v>
      </c>
      <c r="I645">
        <v>1</v>
      </c>
      <c r="J645" t="s">
        <v>15</v>
      </c>
      <c r="K645">
        <v>236.42</v>
      </c>
      <c r="L645">
        <v>236.48</v>
      </c>
      <c r="M645">
        <v>236.72</v>
      </c>
      <c r="N645">
        <v>236.68</v>
      </c>
      <c r="O645" s="1">
        <f t="shared" si="40"/>
        <v>2.5378563573297264E-4</v>
      </c>
      <c r="P645" s="1">
        <f t="shared" si="41"/>
        <v>1.0148849797022574E-3</v>
      </c>
      <c r="Q645" t="str">
        <f t="shared" si="42"/>
        <v>SELL</v>
      </c>
      <c r="R645">
        <f t="shared" si="43"/>
        <v>-16.8000000000029</v>
      </c>
    </row>
    <row r="646" spans="1:18" x14ac:dyDescent="0.2">
      <c r="A646" t="s">
        <v>14</v>
      </c>
      <c r="B646">
        <v>20240105</v>
      </c>
      <c r="C646">
        <v>101504.31</v>
      </c>
      <c r="D646">
        <v>101485.83</v>
      </c>
      <c r="E646">
        <v>1239</v>
      </c>
      <c r="F646">
        <v>1240</v>
      </c>
      <c r="G646" t="s">
        <v>657</v>
      </c>
      <c r="H646">
        <v>-18.479999999995901</v>
      </c>
      <c r="I646">
        <v>1</v>
      </c>
      <c r="J646" t="s">
        <v>15</v>
      </c>
      <c r="K646">
        <v>236.36</v>
      </c>
      <c r="L646">
        <v>237.11</v>
      </c>
      <c r="M646">
        <v>237.19</v>
      </c>
      <c r="N646">
        <v>237.33</v>
      </c>
      <c r="O646" s="1">
        <f t="shared" si="40"/>
        <v>3.1731257403959656E-3</v>
      </c>
      <c r="P646" s="1">
        <f t="shared" si="41"/>
        <v>3.3739614524908035E-4</v>
      </c>
      <c r="Q646" t="str">
        <f t="shared" si="42"/>
        <v>SELL</v>
      </c>
      <c r="R646">
        <f t="shared" si="43"/>
        <v>-18.479999999995901</v>
      </c>
    </row>
    <row r="647" spans="1:18" x14ac:dyDescent="0.2">
      <c r="A647" t="s">
        <v>14</v>
      </c>
      <c r="B647">
        <v>20240105</v>
      </c>
      <c r="C647">
        <v>101485.83</v>
      </c>
      <c r="D647">
        <v>101468.19</v>
      </c>
      <c r="E647">
        <v>1443</v>
      </c>
      <c r="F647">
        <v>1446</v>
      </c>
      <c r="G647" t="s">
        <v>658</v>
      </c>
      <c r="H647">
        <v>-17.6399999999994</v>
      </c>
      <c r="I647">
        <v>3</v>
      </c>
      <c r="J647" t="s">
        <v>15</v>
      </c>
      <c r="K647">
        <v>237.72</v>
      </c>
      <c r="L647">
        <v>237.74</v>
      </c>
      <c r="M647">
        <v>238.36</v>
      </c>
      <c r="N647">
        <v>237.95</v>
      </c>
      <c r="O647" s="1">
        <f t="shared" si="40"/>
        <v>8.4132592966579267E-5</v>
      </c>
      <c r="P647" s="1">
        <f t="shared" si="41"/>
        <v>2.6078909733322497E-3</v>
      </c>
      <c r="Q647" t="str">
        <f t="shared" si="42"/>
        <v>IDLE</v>
      </c>
      <c r="R647">
        <f t="shared" si="43"/>
        <v>0</v>
      </c>
    </row>
    <row r="648" spans="1:18" x14ac:dyDescent="0.2">
      <c r="A648" t="s">
        <v>14</v>
      </c>
      <c r="B648">
        <v>20240105</v>
      </c>
      <c r="C648">
        <v>101468.19</v>
      </c>
      <c r="D648">
        <v>101484.99</v>
      </c>
      <c r="E648">
        <v>1450</v>
      </c>
      <c r="F648">
        <v>1511</v>
      </c>
      <c r="G648" t="s">
        <v>659</v>
      </c>
      <c r="H648">
        <v>16.8000000000029</v>
      </c>
      <c r="I648">
        <v>21</v>
      </c>
      <c r="J648" t="s">
        <v>15</v>
      </c>
      <c r="K648">
        <v>237.67</v>
      </c>
      <c r="L648">
        <v>237.63</v>
      </c>
      <c r="M648">
        <v>237.97</v>
      </c>
      <c r="N648">
        <v>237.43</v>
      </c>
      <c r="O648" s="1">
        <f t="shared" si="40"/>
        <v>-1.6830058484451627E-4</v>
      </c>
      <c r="P648" s="1">
        <f t="shared" si="41"/>
        <v>1.4307957749442046E-3</v>
      </c>
      <c r="Q648" t="str">
        <f t="shared" si="42"/>
        <v>IDLE</v>
      </c>
      <c r="R648">
        <f t="shared" si="43"/>
        <v>0</v>
      </c>
    </row>
    <row r="649" spans="1:18" x14ac:dyDescent="0.2">
      <c r="A649" t="s">
        <v>14</v>
      </c>
      <c r="B649">
        <v>20240105</v>
      </c>
      <c r="C649">
        <v>101484.99</v>
      </c>
      <c r="D649">
        <v>101486.67</v>
      </c>
      <c r="E649">
        <v>1515</v>
      </c>
      <c r="F649">
        <v>1545</v>
      </c>
      <c r="G649" t="s">
        <v>660</v>
      </c>
      <c r="H649">
        <v>1.67999999999301</v>
      </c>
      <c r="I649">
        <v>30</v>
      </c>
      <c r="J649" t="s">
        <v>15</v>
      </c>
      <c r="K649">
        <v>236.91</v>
      </c>
      <c r="L649">
        <v>237.46</v>
      </c>
      <c r="M649">
        <v>237.57</v>
      </c>
      <c r="N649">
        <v>237.44</v>
      </c>
      <c r="O649" s="1">
        <f t="shared" si="40"/>
        <v>2.3215567092988998E-3</v>
      </c>
      <c r="P649" s="1">
        <f t="shared" si="41"/>
        <v>4.6323591341690395E-4</v>
      </c>
      <c r="Q649" t="str">
        <f t="shared" si="42"/>
        <v>SELL</v>
      </c>
      <c r="R649">
        <f t="shared" si="43"/>
        <v>1.67999999999301</v>
      </c>
    </row>
    <row r="650" spans="1:18" x14ac:dyDescent="0.2">
      <c r="A650" t="s">
        <v>14</v>
      </c>
      <c r="B650">
        <v>20240108</v>
      </c>
      <c r="C650">
        <v>101486.67</v>
      </c>
      <c r="D650">
        <v>101475.05</v>
      </c>
      <c r="E650">
        <v>1131</v>
      </c>
      <c r="F650">
        <v>1139</v>
      </c>
      <c r="G650" t="s">
        <v>661</v>
      </c>
      <c r="H650">
        <v>-11.619999999995301</v>
      </c>
      <c r="I650">
        <v>8</v>
      </c>
      <c r="J650" t="s">
        <v>16</v>
      </c>
      <c r="K650">
        <v>237.77</v>
      </c>
      <c r="L650">
        <v>238.51</v>
      </c>
      <c r="M650">
        <v>238.46</v>
      </c>
      <c r="N650">
        <v>238.37</v>
      </c>
      <c r="O650" s="1">
        <f t="shared" si="40"/>
        <v>3.1122513353238901E-3</v>
      </c>
      <c r="P650" s="1">
        <f t="shared" si="41"/>
        <v>-2.0963481615021706E-4</v>
      </c>
      <c r="Q650" t="str">
        <f t="shared" si="42"/>
        <v>IDLE</v>
      </c>
      <c r="R650">
        <f t="shared" si="43"/>
        <v>0</v>
      </c>
    </row>
    <row r="651" spans="1:18" x14ac:dyDescent="0.2">
      <c r="A651" t="s">
        <v>14</v>
      </c>
      <c r="B651">
        <v>20240108</v>
      </c>
      <c r="C651">
        <v>101475.05</v>
      </c>
      <c r="D651">
        <v>101447.66</v>
      </c>
      <c r="E651">
        <v>1143</v>
      </c>
      <c r="F651">
        <v>1147</v>
      </c>
      <c r="G651" t="s">
        <v>662</v>
      </c>
      <c r="H651">
        <v>-27.3899999999994</v>
      </c>
      <c r="I651">
        <v>4</v>
      </c>
      <c r="J651" t="s">
        <v>16</v>
      </c>
      <c r="K651">
        <v>238.32</v>
      </c>
      <c r="L651">
        <v>238.4</v>
      </c>
      <c r="M651">
        <v>238.77</v>
      </c>
      <c r="N651">
        <v>238.07</v>
      </c>
      <c r="O651" s="1">
        <f t="shared" si="40"/>
        <v>3.3568311513931803E-4</v>
      </c>
      <c r="P651" s="1">
        <f t="shared" si="41"/>
        <v>1.5520134228188542E-3</v>
      </c>
      <c r="Q651" t="str">
        <f t="shared" si="42"/>
        <v>IDLE</v>
      </c>
      <c r="R651">
        <f t="shared" si="43"/>
        <v>0</v>
      </c>
    </row>
    <row r="652" spans="1:18" x14ac:dyDescent="0.2">
      <c r="A652" t="s">
        <v>14</v>
      </c>
      <c r="B652">
        <v>20240108</v>
      </c>
      <c r="C652">
        <v>101447.66</v>
      </c>
      <c r="D652">
        <v>101455.96</v>
      </c>
      <c r="E652">
        <v>1203</v>
      </c>
      <c r="F652">
        <v>1225</v>
      </c>
      <c r="G652" t="s">
        <v>663</v>
      </c>
      <c r="H652">
        <v>8.3000000000029104</v>
      </c>
      <c r="I652">
        <v>22</v>
      </c>
      <c r="J652" t="s">
        <v>16</v>
      </c>
      <c r="K652">
        <v>237.7</v>
      </c>
      <c r="L652">
        <v>239.23</v>
      </c>
      <c r="M652">
        <v>239.21</v>
      </c>
      <c r="N652">
        <v>239.33</v>
      </c>
      <c r="O652" s="1">
        <f t="shared" si="40"/>
        <v>6.4366848969288348E-3</v>
      </c>
      <c r="P652" s="1">
        <f t="shared" si="41"/>
        <v>-8.3601554988876892E-5</v>
      </c>
      <c r="Q652" t="str">
        <f t="shared" si="42"/>
        <v>IDLE</v>
      </c>
      <c r="R652">
        <f t="shared" si="43"/>
        <v>0</v>
      </c>
    </row>
    <row r="653" spans="1:18" x14ac:dyDescent="0.2">
      <c r="A653" t="s">
        <v>14</v>
      </c>
      <c r="B653">
        <v>20240108</v>
      </c>
      <c r="C653">
        <v>101455.96</v>
      </c>
      <c r="D653">
        <v>101451.81</v>
      </c>
      <c r="E653">
        <v>1229</v>
      </c>
      <c r="F653">
        <v>1236</v>
      </c>
      <c r="G653" t="s">
        <v>664</v>
      </c>
      <c r="H653">
        <v>-4.1500000000087303</v>
      </c>
      <c r="I653">
        <v>7</v>
      </c>
      <c r="J653" t="s">
        <v>16</v>
      </c>
      <c r="K653">
        <v>239.21</v>
      </c>
      <c r="L653">
        <v>239.21</v>
      </c>
      <c r="M653">
        <v>239.58</v>
      </c>
      <c r="N653">
        <v>239.16</v>
      </c>
      <c r="O653" s="1">
        <f t="shared" si="40"/>
        <v>0</v>
      </c>
      <c r="P653" s="1">
        <f t="shared" si="41"/>
        <v>1.5467580786756585E-3</v>
      </c>
      <c r="Q653" t="str">
        <f t="shared" si="42"/>
        <v>IDLE</v>
      </c>
      <c r="R653">
        <f t="shared" si="43"/>
        <v>0</v>
      </c>
    </row>
    <row r="654" spans="1:18" x14ac:dyDescent="0.2">
      <c r="A654" t="s">
        <v>14</v>
      </c>
      <c r="B654">
        <v>20240108</v>
      </c>
      <c r="C654">
        <v>101451.81</v>
      </c>
      <c r="D654">
        <v>101432.72</v>
      </c>
      <c r="E654">
        <v>1240</v>
      </c>
      <c r="F654">
        <v>1245</v>
      </c>
      <c r="G654" t="s">
        <v>665</v>
      </c>
      <c r="H654">
        <v>-19.0899999999965</v>
      </c>
      <c r="I654">
        <v>5</v>
      </c>
      <c r="J654" t="s">
        <v>16</v>
      </c>
      <c r="K654">
        <v>239.22</v>
      </c>
      <c r="L654">
        <v>239.38</v>
      </c>
      <c r="M654">
        <v>239.53</v>
      </c>
      <c r="N654">
        <v>239.15</v>
      </c>
      <c r="O654" s="1">
        <f t="shared" si="40"/>
        <v>6.6884039796000216E-4</v>
      </c>
      <c r="P654" s="1">
        <f t="shared" si="41"/>
        <v>6.2661876514336079E-4</v>
      </c>
      <c r="Q654" t="str">
        <f t="shared" si="42"/>
        <v>IDLE</v>
      </c>
      <c r="R654">
        <f t="shared" si="43"/>
        <v>0</v>
      </c>
    </row>
    <row r="655" spans="1:18" x14ac:dyDescent="0.2">
      <c r="A655" t="s">
        <v>14</v>
      </c>
      <c r="B655">
        <v>20240108</v>
      </c>
      <c r="C655">
        <v>101432.72</v>
      </c>
      <c r="D655">
        <v>101412.8</v>
      </c>
      <c r="E655">
        <v>1309</v>
      </c>
      <c r="F655">
        <v>1310</v>
      </c>
      <c r="G655" t="s">
        <v>666</v>
      </c>
      <c r="H655">
        <v>-19.9199999999982</v>
      </c>
      <c r="I655">
        <v>1</v>
      </c>
      <c r="J655" t="s">
        <v>16</v>
      </c>
      <c r="K655">
        <v>239.3</v>
      </c>
      <c r="L655">
        <v>239.75</v>
      </c>
      <c r="M655">
        <v>239.79</v>
      </c>
      <c r="N655">
        <v>239.51</v>
      </c>
      <c r="O655" s="1">
        <f t="shared" si="40"/>
        <v>1.8804847471791675E-3</v>
      </c>
      <c r="P655" s="1">
        <f t="shared" si="41"/>
        <v>1.668404588113237E-4</v>
      </c>
      <c r="Q655" t="str">
        <f t="shared" si="42"/>
        <v>IDLE</v>
      </c>
      <c r="R655">
        <f t="shared" si="43"/>
        <v>0</v>
      </c>
    </row>
    <row r="656" spans="1:18" x14ac:dyDescent="0.2">
      <c r="A656" t="s">
        <v>14</v>
      </c>
      <c r="B656">
        <v>20240108</v>
      </c>
      <c r="C656">
        <v>101412.8</v>
      </c>
      <c r="D656">
        <v>101399.52</v>
      </c>
      <c r="E656">
        <v>1314</v>
      </c>
      <c r="F656">
        <v>1318</v>
      </c>
      <c r="G656" t="s">
        <v>667</v>
      </c>
      <c r="H656">
        <v>-13.2799999999988</v>
      </c>
      <c r="I656">
        <v>4</v>
      </c>
      <c r="J656" t="s">
        <v>16</v>
      </c>
      <c r="K656">
        <v>239.35</v>
      </c>
      <c r="L656">
        <v>239.39</v>
      </c>
      <c r="M656">
        <v>239.79</v>
      </c>
      <c r="N656">
        <v>239.23</v>
      </c>
      <c r="O656" s="1">
        <f t="shared" si="40"/>
        <v>1.6711928138701815E-4</v>
      </c>
      <c r="P656" s="1">
        <f t="shared" si="41"/>
        <v>1.6709135719954471E-3</v>
      </c>
      <c r="Q656" t="str">
        <f t="shared" si="42"/>
        <v>IDLE</v>
      </c>
      <c r="R656">
        <f t="shared" si="43"/>
        <v>0</v>
      </c>
    </row>
    <row r="657" spans="1:18" x14ac:dyDescent="0.2">
      <c r="A657" t="s">
        <v>14</v>
      </c>
      <c r="B657">
        <v>20240108</v>
      </c>
      <c r="C657">
        <v>101399.52</v>
      </c>
      <c r="D657">
        <v>101358.85</v>
      </c>
      <c r="E657">
        <v>1322</v>
      </c>
      <c r="F657">
        <v>1326</v>
      </c>
      <c r="G657" t="s">
        <v>668</v>
      </c>
      <c r="H657">
        <v>-40.669999999998197</v>
      </c>
      <c r="I657">
        <v>4</v>
      </c>
      <c r="J657" t="s">
        <v>16</v>
      </c>
      <c r="K657">
        <v>239.18</v>
      </c>
      <c r="L657">
        <v>239.66</v>
      </c>
      <c r="M657">
        <v>239.57</v>
      </c>
      <c r="N657">
        <v>239.17</v>
      </c>
      <c r="O657" s="1">
        <f t="shared" si="40"/>
        <v>2.0068567605986409E-3</v>
      </c>
      <c r="P657" s="1">
        <f t="shared" si="41"/>
        <v>-3.7553200367190787E-4</v>
      </c>
      <c r="Q657" t="str">
        <f t="shared" si="42"/>
        <v>IDLE</v>
      </c>
      <c r="R657">
        <f t="shared" si="43"/>
        <v>0</v>
      </c>
    </row>
    <row r="658" spans="1:18" x14ac:dyDescent="0.2">
      <c r="A658" t="s">
        <v>14</v>
      </c>
      <c r="B658">
        <v>20240108</v>
      </c>
      <c r="C658">
        <v>101358.85</v>
      </c>
      <c r="D658">
        <v>101449.32</v>
      </c>
      <c r="E658">
        <v>1345</v>
      </c>
      <c r="F658">
        <v>1545</v>
      </c>
      <c r="G658" t="s">
        <v>669</v>
      </c>
      <c r="H658">
        <v>90.470000000001093</v>
      </c>
      <c r="I658">
        <v>120</v>
      </c>
      <c r="J658" t="s">
        <v>16</v>
      </c>
      <c r="K658">
        <v>239.03</v>
      </c>
      <c r="L658">
        <v>239.35</v>
      </c>
      <c r="M658">
        <v>239.61</v>
      </c>
      <c r="N658">
        <v>240.44</v>
      </c>
      <c r="O658" s="1">
        <f t="shared" si="40"/>
        <v>1.3387440906997838E-3</v>
      </c>
      <c r="P658" s="1">
        <f t="shared" si="41"/>
        <v>1.0862753290161731E-3</v>
      </c>
      <c r="Q658" t="str">
        <f t="shared" si="42"/>
        <v>IDLE</v>
      </c>
      <c r="R658">
        <f t="shared" si="43"/>
        <v>0</v>
      </c>
    </row>
    <row r="659" spans="1:18" x14ac:dyDescent="0.2">
      <c r="A659" t="s">
        <v>14</v>
      </c>
      <c r="B659">
        <v>20240109</v>
      </c>
      <c r="C659">
        <v>101449.32</v>
      </c>
      <c r="D659">
        <v>101614.8</v>
      </c>
      <c r="E659">
        <v>933</v>
      </c>
      <c r="F659">
        <v>955</v>
      </c>
      <c r="G659" t="s">
        <v>670</v>
      </c>
      <c r="H659">
        <v>165.47999999999499</v>
      </c>
      <c r="I659">
        <v>22</v>
      </c>
      <c r="J659" t="s">
        <v>15</v>
      </c>
      <c r="K659">
        <v>237.79</v>
      </c>
      <c r="L659">
        <v>237.63</v>
      </c>
      <c r="M659">
        <v>241.32</v>
      </c>
      <c r="N659">
        <v>235.66</v>
      </c>
      <c r="O659" s="1">
        <f t="shared" si="40"/>
        <v>-6.7286260986587632E-4</v>
      </c>
      <c r="P659" s="1">
        <f t="shared" si="41"/>
        <v>1.5528342381012417E-2</v>
      </c>
      <c r="Q659" t="str">
        <f t="shared" si="42"/>
        <v>IDLE</v>
      </c>
      <c r="R659">
        <f t="shared" si="43"/>
        <v>0</v>
      </c>
    </row>
    <row r="660" spans="1:18" x14ac:dyDescent="0.2">
      <c r="A660" t="s">
        <v>14</v>
      </c>
      <c r="B660">
        <v>20240109</v>
      </c>
      <c r="C660">
        <v>101614.8</v>
      </c>
      <c r="D660">
        <v>101608.08</v>
      </c>
      <c r="E660">
        <v>959</v>
      </c>
      <c r="F660">
        <v>1000</v>
      </c>
      <c r="G660" t="s">
        <v>671</v>
      </c>
      <c r="H660">
        <v>-6.7200000000011597</v>
      </c>
      <c r="I660">
        <v>1</v>
      </c>
      <c r="J660" t="s">
        <v>15</v>
      </c>
      <c r="K660">
        <v>235.11</v>
      </c>
      <c r="L660">
        <v>235.66</v>
      </c>
      <c r="M660">
        <v>235.77</v>
      </c>
      <c r="N660">
        <v>235.74</v>
      </c>
      <c r="O660" s="1">
        <f t="shared" si="40"/>
        <v>2.3393305261365516E-3</v>
      </c>
      <c r="P660" s="1">
        <f t="shared" si="41"/>
        <v>4.6677416617169065E-4</v>
      </c>
      <c r="Q660" t="str">
        <f t="shared" si="42"/>
        <v>SELL</v>
      </c>
      <c r="R660">
        <f t="shared" si="43"/>
        <v>-6.7200000000011597</v>
      </c>
    </row>
    <row r="661" spans="1:18" x14ac:dyDescent="0.2">
      <c r="A661" t="s">
        <v>14</v>
      </c>
      <c r="B661">
        <v>20240109</v>
      </c>
      <c r="C661">
        <v>101608.08</v>
      </c>
      <c r="D661">
        <v>101699.88</v>
      </c>
      <c r="E661">
        <v>1004</v>
      </c>
      <c r="F661">
        <v>1015</v>
      </c>
      <c r="G661" t="s">
        <v>672</v>
      </c>
      <c r="H661">
        <v>91.800000000002896</v>
      </c>
      <c r="I661">
        <v>11</v>
      </c>
      <c r="J661" t="s">
        <v>15</v>
      </c>
      <c r="K661">
        <v>235.21</v>
      </c>
      <c r="L661">
        <v>234.91</v>
      </c>
      <c r="M661">
        <v>235.99</v>
      </c>
      <c r="N661">
        <v>233.83</v>
      </c>
      <c r="O661" s="1">
        <f t="shared" si="40"/>
        <v>-1.2754559755112638E-3</v>
      </c>
      <c r="P661" s="1">
        <f t="shared" si="41"/>
        <v>4.5975054276106153E-3</v>
      </c>
      <c r="Q661" t="str">
        <f t="shared" si="42"/>
        <v>IDLE</v>
      </c>
      <c r="R661">
        <f t="shared" si="43"/>
        <v>0</v>
      </c>
    </row>
    <row r="662" spans="1:18" x14ac:dyDescent="0.2">
      <c r="A662" t="s">
        <v>14</v>
      </c>
      <c r="B662">
        <v>20240109</v>
      </c>
      <c r="C662">
        <v>101699.88</v>
      </c>
      <c r="D662">
        <v>101760.23</v>
      </c>
      <c r="E662">
        <v>1019</v>
      </c>
      <c r="F662">
        <v>1034</v>
      </c>
      <c r="G662" t="s">
        <v>673</v>
      </c>
      <c r="H662">
        <v>60.349999999991198</v>
      </c>
      <c r="I662">
        <v>15</v>
      </c>
      <c r="J662" t="s">
        <v>15</v>
      </c>
      <c r="K662">
        <v>233.35</v>
      </c>
      <c r="L662">
        <v>233.71</v>
      </c>
      <c r="M662">
        <v>234.23</v>
      </c>
      <c r="N662">
        <v>233</v>
      </c>
      <c r="O662" s="1">
        <f t="shared" si="40"/>
        <v>1.5427469466466892E-3</v>
      </c>
      <c r="P662" s="1">
        <f t="shared" si="41"/>
        <v>2.224979675666372E-3</v>
      </c>
      <c r="Q662" t="str">
        <f t="shared" si="42"/>
        <v>SELL</v>
      </c>
      <c r="R662">
        <f t="shared" si="43"/>
        <v>60.349999999991198</v>
      </c>
    </row>
    <row r="663" spans="1:18" x14ac:dyDescent="0.2">
      <c r="A663" t="s">
        <v>14</v>
      </c>
      <c r="B663">
        <v>20240109</v>
      </c>
      <c r="C663">
        <v>101760.23</v>
      </c>
      <c r="D663">
        <v>101732.18</v>
      </c>
      <c r="E663">
        <v>1038</v>
      </c>
      <c r="F663">
        <v>1039</v>
      </c>
      <c r="G663" t="s">
        <v>674</v>
      </c>
      <c r="H663">
        <v>-28.0500000000029</v>
      </c>
      <c r="I663">
        <v>1</v>
      </c>
      <c r="J663" t="s">
        <v>15</v>
      </c>
      <c r="K663">
        <v>232.35</v>
      </c>
      <c r="L663">
        <v>232.92</v>
      </c>
      <c r="M663">
        <v>233.1</v>
      </c>
      <c r="N663">
        <v>233.25</v>
      </c>
      <c r="O663" s="1">
        <f t="shared" si="40"/>
        <v>2.4531956100710683E-3</v>
      </c>
      <c r="P663" s="1">
        <f t="shared" si="41"/>
        <v>7.7279752704795257E-4</v>
      </c>
      <c r="Q663" t="str">
        <f t="shared" si="42"/>
        <v>SELL</v>
      </c>
      <c r="R663">
        <f t="shared" si="43"/>
        <v>-28.0500000000029</v>
      </c>
    </row>
    <row r="664" spans="1:18" x14ac:dyDescent="0.2">
      <c r="A664" t="s">
        <v>14</v>
      </c>
      <c r="B664">
        <v>20240109</v>
      </c>
      <c r="C664">
        <v>101732.18</v>
      </c>
      <c r="D664">
        <v>101728.78</v>
      </c>
      <c r="E664">
        <v>1043</v>
      </c>
      <c r="F664">
        <v>1051</v>
      </c>
      <c r="G664" t="s">
        <v>675</v>
      </c>
      <c r="H664">
        <v>-3.3999999999941699</v>
      </c>
      <c r="I664">
        <v>8</v>
      </c>
      <c r="J664" t="s">
        <v>15</v>
      </c>
      <c r="K664">
        <v>232.78</v>
      </c>
      <c r="L664">
        <v>233.63</v>
      </c>
      <c r="M664">
        <v>233.43</v>
      </c>
      <c r="N664">
        <v>233.67</v>
      </c>
      <c r="O664" s="1">
        <f t="shared" si="40"/>
        <v>3.6515164533035271E-3</v>
      </c>
      <c r="P664" s="1">
        <f t="shared" si="41"/>
        <v>-8.5605444506264838E-4</v>
      </c>
      <c r="Q664" t="str">
        <f t="shared" si="42"/>
        <v>SELL</v>
      </c>
      <c r="R664">
        <f t="shared" si="43"/>
        <v>-3.3999999999941699</v>
      </c>
    </row>
    <row r="665" spans="1:18" x14ac:dyDescent="0.2">
      <c r="A665" t="s">
        <v>14</v>
      </c>
      <c r="B665">
        <v>20240109</v>
      </c>
      <c r="C665">
        <v>101728.78</v>
      </c>
      <c r="D665">
        <v>101682.88</v>
      </c>
      <c r="E665">
        <v>1333</v>
      </c>
      <c r="F665">
        <v>1337</v>
      </c>
      <c r="G665" t="s">
        <v>676</v>
      </c>
      <c r="H665">
        <v>-45.899999999994101</v>
      </c>
      <c r="I665">
        <v>4</v>
      </c>
      <c r="J665" t="s">
        <v>15</v>
      </c>
      <c r="K665">
        <v>233.5</v>
      </c>
      <c r="L665">
        <v>233.37</v>
      </c>
      <c r="M665">
        <v>234.72</v>
      </c>
      <c r="N665">
        <v>233.91</v>
      </c>
      <c r="O665" s="1">
        <f t="shared" si="40"/>
        <v>-5.5674518201287437E-4</v>
      </c>
      <c r="P665" s="1">
        <f t="shared" si="41"/>
        <v>5.7848052448901122E-3</v>
      </c>
      <c r="Q665" t="str">
        <f t="shared" si="42"/>
        <v>IDLE</v>
      </c>
      <c r="R665">
        <f t="shared" si="43"/>
        <v>0</v>
      </c>
    </row>
    <row r="666" spans="1:18" x14ac:dyDescent="0.2">
      <c r="A666" t="s">
        <v>14</v>
      </c>
      <c r="B666">
        <v>20240109</v>
      </c>
      <c r="C666">
        <v>101682.88</v>
      </c>
      <c r="D666">
        <v>101668.43</v>
      </c>
      <c r="E666">
        <v>1341</v>
      </c>
      <c r="F666">
        <v>1347</v>
      </c>
      <c r="G666" t="s">
        <v>677</v>
      </c>
      <c r="H666">
        <v>-14.450000000011601</v>
      </c>
      <c r="I666">
        <v>6</v>
      </c>
      <c r="J666" t="s">
        <v>15</v>
      </c>
      <c r="K666">
        <v>233.45</v>
      </c>
      <c r="L666">
        <v>233.92</v>
      </c>
      <c r="M666">
        <v>234.05</v>
      </c>
      <c r="N666">
        <v>234.09</v>
      </c>
      <c r="O666" s="1">
        <f t="shared" si="40"/>
        <v>2.0132790747482421E-3</v>
      </c>
      <c r="P666" s="1">
        <f t="shared" si="41"/>
        <v>5.5574555403570258E-4</v>
      </c>
      <c r="Q666" t="str">
        <f t="shared" si="42"/>
        <v>SELL</v>
      </c>
      <c r="R666">
        <f t="shared" si="43"/>
        <v>-14.450000000011601</v>
      </c>
    </row>
    <row r="667" spans="1:18" x14ac:dyDescent="0.2">
      <c r="A667" t="s">
        <v>14</v>
      </c>
      <c r="B667">
        <v>20240110</v>
      </c>
      <c r="C667">
        <v>101668.43</v>
      </c>
      <c r="D667">
        <v>101767.03</v>
      </c>
      <c r="E667">
        <v>943</v>
      </c>
      <c r="F667">
        <v>959</v>
      </c>
      <c r="G667" t="s">
        <v>678</v>
      </c>
      <c r="H667">
        <v>98.600000000005807</v>
      </c>
      <c r="I667">
        <v>16</v>
      </c>
      <c r="J667" t="s">
        <v>15</v>
      </c>
      <c r="K667">
        <v>233.3</v>
      </c>
      <c r="L667">
        <v>233.77</v>
      </c>
      <c r="M667">
        <v>234</v>
      </c>
      <c r="N667">
        <v>232.61</v>
      </c>
      <c r="O667" s="1">
        <f t="shared" si="40"/>
        <v>2.0145735105014939E-3</v>
      </c>
      <c r="P667" s="1">
        <f t="shared" si="41"/>
        <v>9.8387303760105738E-4</v>
      </c>
      <c r="Q667" t="str">
        <f t="shared" si="42"/>
        <v>SELL</v>
      </c>
      <c r="R667">
        <f t="shared" si="43"/>
        <v>98.600000000005807</v>
      </c>
    </row>
    <row r="668" spans="1:18" x14ac:dyDescent="0.2">
      <c r="A668" t="s">
        <v>14</v>
      </c>
      <c r="B668">
        <v>20240110</v>
      </c>
      <c r="C668">
        <v>101767.03</v>
      </c>
      <c r="D668">
        <v>101736.93</v>
      </c>
      <c r="E668">
        <v>1003</v>
      </c>
      <c r="F668">
        <v>1011</v>
      </c>
      <c r="G668" t="s">
        <v>679</v>
      </c>
      <c r="H668">
        <v>-30.100000000005799</v>
      </c>
      <c r="I668">
        <v>8</v>
      </c>
      <c r="J668" t="s">
        <v>15</v>
      </c>
      <c r="K668">
        <v>231.74</v>
      </c>
      <c r="L668">
        <v>231.76</v>
      </c>
      <c r="M668">
        <v>232.55</v>
      </c>
      <c r="N668">
        <v>232.11</v>
      </c>
      <c r="O668" s="1">
        <f t="shared" si="40"/>
        <v>8.6303616121385929E-5</v>
      </c>
      <c r="P668" s="1">
        <f t="shared" si="41"/>
        <v>3.4086986537797959E-3</v>
      </c>
      <c r="Q668" t="str">
        <f t="shared" si="42"/>
        <v>IDLE</v>
      </c>
      <c r="R668">
        <f t="shared" si="43"/>
        <v>0</v>
      </c>
    </row>
    <row r="669" spans="1:18" x14ac:dyDescent="0.2">
      <c r="A669" t="s">
        <v>14</v>
      </c>
      <c r="B669">
        <v>20240110</v>
      </c>
      <c r="C669">
        <v>101736.93</v>
      </c>
      <c r="D669">
        <v>101724.18</v>
      </c>
      <c r="E669">
        <v>1125</v>
      </c>
      <c r="F669">
        <v>1139</v>
      </c>
      <c r="G669" t="s">
        <v>680</v>
      </c>
      <c r="H669">
        <v>-12.75</v>
      </c>
      <c r="I669">
        <v>14</v>
      </c>
      <c r="J669" t="s">
        <v>15</v>
      </c>
      <c r="K669">
        <v>232.8</v>
      </c>
      <c r="L669">
        <v>232.9</v>
      </c>
      <c r="M669">
        <v>233.68</v>
      </c>
      <c r="N669">
        <v>233.05</v>
      </c>
      <c r="O669" s="1">
        <f t="shared" si="40"/>
        <v>4.2955326460480947E-4</v>
      </c>
      <c r="P669" s="1">
        <f t="shared" si="41"/>
        <v>3.3490768570201279E-3</v>
      </c>
      <c r="Q669" t="str">
        <f t="shared" si="42"/>
        <v>SELL</v>
      </c>
      <c r="R669">
        <f t="shared" si="43"/>
        <v>-12.75</v>
      </c>
    </row>
    <row r="670" spans="1:18" x14ac:dyDescent="0.2">
      <c r="A670" t="s">
        <v>14</v>
      </c>
      <c r="B670">
        <v>20240110</v>
      </c>
      <c r="C670">
        <v>101724.18</v>
      </c>
      <c r="D670">
        <v>101696.98</v>
      </c>
      <c r="E670">
        <v>1153</v>
      </c>
      <c r="F670">
        <v>1156</v>
      </c>
      <c r="G670" t="s">
        <v>681</v>
      </c>
      <c r="H670">
        <v>-27.199999999997001</v>
      </c>
      <c r="I670">
        <v>3</v>
      </c>
      <c r="J670" t="s">
        <v>15</v>
      </c>
      <c r="K670">
        <v>232.96</v>
      </c>
      <c r="L670">
        <v>232.86</v>
      </c>
      <c r="M670">
        <v>233.7</v>
      </c>
      <c r="N670">
        <v>233.18</v>
      </c>
      <c r="O670" s="1">
        <f t="shared" si="40"/>
        <v>-4.2925824175821248E-4</v>
      </c>
      <c r="P670" s="1">
        <f t="shared" si="41"/>
        <v>3.6073177016231472E-3</v>
      </c>
      <c r="Q670" t="str">
        <f t="shared" si="42"/>
        <v>IDLE</v>
      </c>
      <c r="R670">
        <f t="shared" si="43"/>
        <v>0</v>
      </c>
    </row>
    <row r="671" spans="1:18" x14ac:dyDescent="0.2">
      <c r="A671" t="s">
        <v>14</v>
      </c>
      <c r="B671">
        <v>20240110</v>
      </c>
      <c r="C671">
        <v>101696.98</v>
      </c>
      <c r="D671">
        <v>101691.88</v>
      </c>
      <c r="E671">
        <v>1200</v>
      </c>
      <c r="F671">
        <v>1208</v>
      </c>
      <c r="G671" t="s">
        <v>682</v>
      </c>
      <c r="H671">
        <v>-5.09999999999126</v>
      </c>
      <c r="I671">
        <v>8</v>
      </c>
      <c r="J671" t="s">
        <v>15</v>
      </c>
      <c r="K671">
        <v>232.9</v>
      </c>
      <c r="L671">
        <v>233.28</v>
      </c>
      <c r="M671">
        <v>233.38</v>
      </c>
      <c r="N671">
        <v>233.34</v>
      </c>
      <c r="O671" s="1">
        <f t="shared" si="40"/>
        <v>1.6316015457278343E-3</v>
      </c>
      <c r="P671" s="1">
        <f t="shared" si="41"/>
        <v>4.2866941015096138E-4</v>
      </c>
      <c r="Q671" t="str">
        <f t="shared" si="42"/>
        <v>SELL</v>
      </c>
      <c r="R671">
        <f t="shared" si="43"/>
        <v>-5.09999999999126</v>
      </c>
    </row>
    <row r="672" spans="1:18" x14ac:dyDescent="0.2">
      <c r="A672" t="s">
        <v>14</v>
      </c>
      <c r="B672">
        <v>20240110</v>
      </c>
      <c r="C672">
        <v>101691.88</v>
      </c>
      <c r="D672">
        <v>101687.63</v>
      </c>
      <c r="E672">
        <v>1228</v>
      </c>
      <c r="F672">
        <v>1246</v>
      </c>
      <c r="G672" t="s">
        <v>683</v>
      </c>
      <c r="H672">
        <v>-4.25</v>
      </c>
      <c r="I672">
        <v>18</v>
      </c>
      <c r="J672" t="s">
        <v>15</v>
      </c>
      <c r="K672">
        <v>232.67</v>
      </c>
      <c r="L672">
        <v>232.8</v>
      </c>
      <c r="M672">
        <v>233.95</v>
      </c>
      <c r="N672">
        <v>232.85</v>
      </c>
      <c r="O672" s="1">
        <f t="shared" si="40"/>
        <v>5.5873125026861814E-4</v>
      </c>
      <c r="P672" s="1">
        <f t="shared" si="41"/>
        <v>4.9398625429553089E-3</v>
      </c>
      <c r="Q672" t="str">
        <f t="shared" si="42"/>
        <v>SELL</v>
      </c>
      <c r="R672">
        <f t="shared" si="43"/>
        <v>-4.25</v>
      </c>
    </row>
    <row r="673" spans="1:18" x14ac:dyDescent="0.2">
      <c r="A673" t="s">
        <v>14</v>
      </c>
      <c r="B673">
        <v>20240110</v>
      </c>
      <c r="C673">
        <v>101687.63</v>
      </c>
      <c r="D673">
        <v>101664.68</v>
      </c>
      <c r="E673">
        <v>1250</v>
      </c>
      <c r="F673">
        <v>1258</v>
      </c>
      <c r="G673" t="s">
        <v>684</v>
      </c>
      <c r="H673">
        <v>-22.950000000011599</v>
      </c>
      <c r="I673">
        <v>8</v>
      </c>
      <c r="J673" t="s">
        <v>15</v>
      </c>
      <c r="K673">
        <v>232.25</v>
      </c>
      <c r="L673">
        <v>232.89</v>
      </c>
      <c r="M673">
        <v>233.08</v>
      </c>
      <c r="N673">
        <v>233.16</v>
      </c>
      <c r="O673" s="1">
        <f t="shared" si="40"/>
        <v>2.7556512378901221E-3</v>
      </c>
      <c r="P673" s="1">
        <f t="shared" si="41"/>
        <v>8.1583580231026076E-4</v>
      </c>
      <c r="Q673" t="str">
        <f t="shared" si="42"/>
        <v>SELL</v>
      </c>
      <c r="R673">
        <f t="shared" si="43"/>
        <v>-22.950000000011599</v>
      </c>
    </row>
    <row r="674" spans="1:18" x14ac:dyDescent="0.2">
      <c r="A674" t="s">
        <v>14</v>
      </c>
      <c r="B674">
        <v>20240110</v>
      </c>
      <c r="C674">
        <v>101664.68</v>
      </c>
      <c r="D674">
        <v>101651.93</v>
      </c>
      <c r="E674">
        <v>1304</v>
      </c>
      <c r="F674">
        <v>1305</v>
      </c>
      <c r="G674" t="s">
        <v>685</v>
      </c>
      <c r="H674">
        <v>-12.75</v>
      </c>
      <c r="I674">
        <v>1</v>
      </c>
      <c r="J674" t="s">
        <v>15</v>
      </c>
      <c r="K674">
        <v>232.37</v>
      </c>
      <c r="L674">
        <v>232.98</v>
      </c>
      <c r="M674">
        <v>233.27</v>
      </c>
      <c r="N674">
        <v>233.13</v>
      </c>
      <c r="O674" s="1">
        <f t="shared" si="40"/>
        <v>2.6251237250936033E-3</v>
      </c>
      <c r="P674" s="1">
        <f t="shared" si="41"/>
        <v>1.244742037943336E-3</v>
      </c>
      <c r="Q674" t="str">
        <f t="shared" si="42"/>
        <v>SELL</v>
      </c>
      <c r="R674">
        <f t="shared" si="43"/>
        <v>-12.75</v>
      </c>
    </row>
    <row r="675" spans="1:18" x14ac:dyDescent="0.2">
      <c r="A675" t="s">
        <v>14</v>
      </c>
      <c r="B675">
        <v>20240110</v>
      </c>
      <c r="C675">
        <v>101651.93</v>
      </c>
      <c r="D675">
        <v>101641.73</v>
      </c>
      <c r="E675">
        <v>1528</v>
      </c>
      <c r="F675">
        <v>1531</v>
      </c>
      <c r="G675" t="s">
        <v>686</v>
      </c>
      <c r="H675">
        <v>-10.199999999997001</v>
      </c>
      <c r="I675">
        <v>3</v>
      </c>
      <c r="J675" t="s">
        <v>15</v>
      </c>
      <c r="K675">
        <v>233.66</v>
      </c>
      <c r="L675">
        <v>233.87</v>
      </c>
      <c r="M675">
        <v>234.14</v>
      </c>
      <c r="N675">
        <v>233.99</v>
      </c>
      <c r="O675" s="1">
        <f t="shared" si="40"/>
        <v>8.9874176153381669E-4</v>
      </c>
      <c r="P675" s="1">
        <f t="shared" si="41"/>
        <v>1.1544875358104889E-3</v>
      </c>
      <c r="Q675" t="str">
        <f t="shared" si="42"/>
        <v>SELL</v>
      </c>
      <c r="R675">
        <f t="shared" si="43"/>
        <v>-10.199999999997001</v>
      </c>
    </row>
    <row r="676" spans="1:18" x14ac:dyDescent="0.2">
      <c r="A676" t="s">
        <v>14</v>
      </c>
      <c r="B676">
        <v>20240110</v>
      </c>
      <c r="C676">
        <v>101641.73</v>
      </c>
      <c r="D676">
        <v>101648.53</v>
      </c>
      <c r="E676">
        <v>1535</v>
      </c>
      <c r="F676">
        <v>1554</v>
      </c>
      <c r="G676" t="s">
        <v>687</v>
      </c>
      <c r="H676">
        <v>6.8000000000029104</v>
      </c>
      <c r="I676">
        <v>19</v>
      </c>
      <c r="J676" t="s">
        <v>15</v>
      </c>
      <c r="K676">
        <v>233.75</v>
      </c>
      <c r="L676">
        <v>233.73</v>
      </c>
      <c r="M676">
        <v>234.01</v>
      </c>
      <c r="N676">
        <v>233.65</v>
      </c>
      <c r="O676" s="1">
        <f t="shared" si="40"/>
        <v>-8.5561497326192004E-5</v>
      </c>
      <c r="P676" s="1">
        <f t="shared" si="41"/>
        <v>1.1979634621144264E-3</v>
      </c>
      <c r="Q676" t="str">
        <f t="shared" si="42"/>
        <v>IDLE</v>
      </c>
      <c r="R676">
        <f t="shared" si="43"/>
        <v>0</v>
      </c>
    </row>
    <row r="677" spans="1:18" x14ac:dyDescent="0.2">
      <c r="A677" t="s">
        <v>14</v>
      </c>
      <c r="B677">
        <v>20240111</v>
      </c>
      <c r="C677">
        <v>101648.53</v>
      </c>
      <c r="D677">
        <v>101641.57</v>
      </c>
      <c r="E677">
        <v>933</v>
      </c>
      <c r="F677">
        <v>937</v>
      </c>
      <c r="G677" t="s">
        <v>688</v>
      </c>
      <c r="H677">
        <v>-6.95999999999185</v>
      </c>
      <c r="I677">
        <v>4</v>
      </c>
      <c r="J677" t="s">
        <v>15</v>
      </c>
      <c r="K677">
        <v>228.4</v>
      </c>
      <c r="L677">
        <v>229.25</v>
      </c>
      <c r="M677">
        <v>235.42</v>
      </c>
      <c r="N677">
        <v>229.33</v>
      </c>
      <c r="O677" s="1">
        <f t="shared" si="40"/>
        <v>3.7215411558668698E-3</v>
      </c>
      <c r="P677" s="1">
        <f t="shared" si="41"/>
        <v>2.6913849509269339E-2</v>
      </c>
      <c r="Q677" t="str">
        <f t="shared" si="42"/>
        <v>SELL</v>
      </c>
      <c r="R677">
        <f t="shared" si="43"/>
        <v>-6.95999999999185</v>
      </c>
    </row>
    <row r="678" spans="1:18" x14ac:dyDescent="0.2">
      <c r="A678" t="s">
        <v>14</v>
      </c>
      <c r="B678">
        <v>20240111</v>
      </c>
      <c r="C678">
        <v>101641.57</v>
      </c>
      <c r="D678">
        <v>101647.59</v>
      </c>
      <c r="E678">
        <v>941</v>
      </c>
      <c r="F678">
        <v>947</v>
      </c>
      <c r="G678" t="s">
        <v>689</v>
      </c>
      <c r="H678">
        <v>6.01999999998952</v>
      </c>
      <c r="I678">
        <v>6</v>
      </c>
      <c r="J678" t="s">
        <v>15</v>
      </c>
      <c r="K678">
        <v>228.21</v>
      </c>
      <c r="L678">
        <v>230.14</v>
      </c>
      <c r="M678">
        <v>230.28</v>
      </c>
      <c r="N678">
        <v>230.07</v>
      </c>
      <c r="O678" s="1">
        <f t="shared" si="40"/>
        <v>8.4571228254677333E-3</v>
      </c>
      <c r="P678" s="1">
        <f t="shared" si="41"/>
        <v>6.0832536716781682E-4</v>
      </c>
      <c r="Q678" t="str">
        <f t="shared" si="42"/>
        <v>SELL</v>
      </c>
      <c r="R678">
        <f t="shared" si="43"/>
        <v>6.01999999998952</v>
      </c>
    </row>
    <row r="679" spans="1:18" x14ac:dyDescent="0.2">
      <c r="A679" t="s">
        <v>14</v>
      </c>
      <c r="B679">
        <v>20240111</v>
      </c>
      <c r="C679">
        <v>101647.59</v>
      </c>
      <c r="D679">
        <v>101860.74</v>
      </c>
      <c r="E679">
        <v>951</v>
      </c>
      <c r="F679">
        <v>1011</v>
      </c>
      <c r="G679" t="s">
        <v>690</v>
      </c>
      <c r="H679">
        <v>213.15000000000799</v>
      </c>
      <c r="I679">
        <v>20</v>
      </c>
      <c r="J679" t="s">
        <v>15</v>
      </c>
      <c r="K679">
        <v>229.28</v>
      </c>
      <c r="L679">
        <v>229.6</v>
      </c>
      <c r="M679">
        <v>230.09</v>
      </c>
      <c r="N679">
        <v>227.15</v>
      </c>
      <c r="O679" s="1">
        <f t="shared" si="40"/>
        <v>1.3956734124214165E-3</v>
      </c>
      <c r="P679" s="1">
        <f t="shared" si="41"/>
        <v>2.134146341463472E-3</v>
      </c>
      <c r="Q679" t="str">
        <f t="shared" si="42"/>
        <v>SELL</v>
      </c>
      <c r="R679">
        <f t="shared" si="43"/>
        <v>213.15000000000799</v>
      </c>
    </row>
    <row r="680" spans="1:18" x14ac:dyDescent="0.2">
      <c r="A680" t="s">
        <v>14</v>
      </c>
      <c r="B680">
        <v>20240111</v>
      </c>
      <c r="C680">
        <v>101860.74</v>
      </c>
      <c r="D680">
        <v>101819.38</v>
      </c>
      <c r="E680">
        <v>1015</v>
      </c>
      <c r="F680">
        <v>1018</v>
      </c>
      <c r="G680" t="s">
        <v>691</v>
      </c>
      <c r="H680">
        <v>-41.360000000000497</v>
      </c>
      <c r="I680">
        <v>3</v>
      </c>
      <c r="J680" t="s">
        <v>15</v>
      </c>
      <c r="K680">
        <v>226.44</v>
      </c>
      <c r="L680">
        <v>226.96</v>
      </c>
      <c r="M680">
        <v>227.13</v>
      </c>
      <c r="N680">
        <v>227.43</v>
      </c>
      <c r="O680" s="1">
        <f t="shared" si="40"/>
        <v>2.2964140611199113E-3</v>
      </c>
      <c r="P680" s="1">
        <f t="shared" si="41"/>
        <v>7.4903066619658176E-4</v>
      </c>
      <c r="Q680" t="str">
        <f t="shared" si="42"/>
        <v>SELL</v>
      </c>
      <c r="R680">
        <f t="shared" si="43"/>
        <v>-41.360000000000497</v>
      </c>
    </row>
    <row r="681" spans="1:18" x14ac:dyDescent="0.2">
      <c r="A681" t="s">
        <v>14</v>
      </c>
      <c r="B681">
        <v>20240111</v>
      </c>
      <c r="C681">
        <v>101819.38</v>
      </c>
      <c r="D681">
        <v>101750.65</v>
      </c>
      <c r="E681">
        <v>1022</v>
      </c>
      <c r="F681">
        <v>1028</v>
      </c>
      <c r="G681" t="s">
        <v>692</v>
      </c>
      <c r="H681">
        <v>-68.730000000010406</v>
      </c>
      <c r="I681">
        <v>6</v>
      </c>
      <c r="J681" t="s">
        <v>15</v>
      </c>
      <c r="K681">
        <v>226.75</v>
      </c>
      <c r="L681">
        <v>227.36</v>
      </c>
      <c r="M681">
        <v>227.69</v>
      </c>
      <c r="N681">
        <v>228.15</v>
      </c>
      <c r="O681" s="1">
        <f t="shared" si="40"/>
        <v>2.6901874310916174E-3</v>
      </c>
      <c r="P681" s="1">
        <f t="shared" si="41"/>
        <v>1.451442646023926E-3</v>
      </c>
      <c r="Q681" t="str">
        <f t="shared" si="42"/>
        <v>SELL</v>
      </c>
      <c r="R681">
        <f t="shared" si="43"/>
        <v>-68.730000000010406</v>
      </c>
    </row>
    <row r="682" spans="1:18" x14ac:dyDescent="0.2">
      <c r="A682" t="s">
        <v>14</v>
      </c>
      <c r="B682">
        <v>20240111</v>
      </c>
      <c r="C682">
        <v>101750.65</v>
      </c>
      <c r="D682">
        <v>101733.05</v>
      </c>
      <c r="E682">
        <v>1046</v>
      </c>
      <c r="F682">
        <v>1056</v>
      </c>
      <c r="G682" t="s">
        <v>693</v>
      </c>
      <c r="H682">
        <v>-17.599999999991201</v>
      </c>
      <c r="I682">
        <v>10</v>
      </c>
      <c r="J682" t="s">
        <v>15</v>
      </c>
      <c r="K682">
        <v>226.8</v>
      </c>
      <c r="L682">
        <v>227.04</v>
      </c>
      <c r="M682">
        <v>227.61</v>
      </c>
      <c r="N682">
        <v>227.24</v>
      </c>
      <c r="O682" s="1">
        <f t="shared" si="40"/>
        <v>1.0582010582009804E-3</v>
      </c>
      <c r="P682" s="1">
        <f t="shared" si="41"/>
        <v>2.5105708245243274E-3</v>
      </c>
      <c r="Q682" t="str">
        <f t="shared" si="42"/>
        <v>SELL</v>
      </c>
      <c r="R682">
        <f t="shared" si="43"/>
        <v>-17.599999999991201</v>
      </c>
    </row>
    <row r="683" spans="1:18" x14ac:dyDescent="0.2">
      <c r="A683" t="s">
        <v>14</v>
      </c>
      <c r="B683">
        <v>20240111</v>
      </c>
      <c r="C683">
        <v>101733.05</v>
      </c>
      <c r="D683">
        <v>101799.05</v>
      </c>
      <c r="E683">
        <v>1100</v>
      </c>
      <c r="F683">
        <v>1121</v>
      </c>
      <c r="G683" t="s">
        <v>694</v>
      </c>
      <c r="H683">
        <v>66</v>
      </c>
      <c r="I683">
        <v>21</v>
      </c>
      <c r="J683" t="s">
        <v>15</v>
      </c>
      <c r="K683">
        <v>226.59</v>
      </c>
      <c r="L683">
        <v>227.17</v>
      </c>
      <c r="M683">
        <v>227.36</v>
      </c>
      <c r="N683">
        <v>226.42</v>
      </c>
      <c r="O683" s="1">
        <f t="shared" si="40"/>
        <v>2.5596893066772708E-3</v>
      </c>
      <c r="P683" s="1">
        <f t="shared" si="41"/>
        <v>8.3637804287550743E-4</v>
      </c>
      <c r="Q683" t="str">
        <f t="shared" si="42"/>
        <v>SELL</v>
      </c>
      <c r="R683">
        <f t="shared" si="43"/>
        <v>66</v>
      </c>
    </row>
    <row r="684" spans="1:18" x14ac:dyDescent="0.2">
      <c r="A684" t="s">
        <v>14</v>
      </c>
      <c r="B684">
        <v>20240111</v>
      </c>
      <c r="C684">
        <v>101799.05</v>
      </c>
      <c r="D684">
        <v>101787.61</v>
      </c>
      <c r="E684">
        <v>1125</v>
      </c>
      <c r="F684">
        <v>1141</v>
      </c>
      <c r="G684" t="s">
        <v>695</v>
      </c>
      <c r="H684">
        <v>-11.4400000000023</v>
      </c>
      <c r="I684">
        <v>16</v>
      </c>
      <c r="J684" t="s">
        <v>15</v>
      </c>
      <c r="K684">
        <v>225.87</v>
      </c>
      <c r="L684">
        <v>226.25</v>
      </c>
      <c r="M684">
        <v>226.39</v>
      </c>
      <c r="N684">
        <v>226.38</v>
      </c>
      <c r="O684" s="1">
        <f t="shared" si="40"/>
        <v>1.6823836720236685E-3</v>
      </c>
      <c r="P684" s="1">
        <f t="shared" si="41"/>
        <v>6.1878453038666237E-4</v>
      </c>
      <c r="Q684" t="str">
        <f t="shared" si="42"/>
        <v>SELL</v>
      </c>
      <c r="R684">
        <f t="shared" si="43"/>
        <v>-11.4400000000023</v>
      </c>
    </row>
    <row r="685" spans="1:18" x14ac:dyDescent="0.2">
      <c r="A685" t="s">
        <v>14</v>
      </c>
      <c r="B685">
        <v>20240111</v>
      </c>
      <c r="C685">
        <v>101787.61</v>
      </c>
      <c r="D685">
        <v>101740.97</v>
      </c>
      <c r="E685">
        <v>1145</v>
      </c>
      <c r="F685">
        <v>1147</v>
      </c>
      <c r="G685" t="s">
        <v>696</v>
      </c>
      <c r="H685">
        <v>-46.639999999999397</v>
      </c>
      <c r="I685">
        <v>2</v>
      </c>
      <c r="J685" t="s">
        <v>15</v>
      </c>
      <c r="K685">
        <v>226.02</v>
      </c>
      <c r="L685">
        <v>226.57</v>
      </c>
      <c r="M685">
        <v>226.54</v>
      </c>
      <c r="N685">
        <v>227.1</v>
      </c>
      <c r="O685" s="1">
        <f t="shared" si="40"/>
        <v>2.4334129723031506E-3</v>
      </c>
      <c r="P685" s="1">
        <f t="shared" si="41"/>
        <v>-1.3240940989545091E-4</v>
      </c>
      <c r="Q685" t="str">
        <f t="shared" si="42"/>
        <v>SELL</v>
      </c>
      <c r="R685">
        <f t="shared" si="43"/>
        <v>-46.639999999999397</v>
      </c>
    </row>
    <row r="686" spans="1:18" x14ac:dyDescent="0.2">
      <c r="A686" t="s">
        <v>14</v>
      </c>
      <c r="B686">
        <v>20240111</v>
      </c>
      <c r="C686">
        <v>101740.97</v>
      </c>
      <c r="D686">
        <v>101716.33</v>
      </c>
      <c r="E686">
        <v>1159</v>
      </c>
      <c r="F686">
        <v>1202</v>
      </c>
      <c r="G686" t="s">
        <v>697</v>
      </c>
      <c r="H686">
        <v>-24.6399999999994</v>
      </c>
      <c r="I686">
        <v>3</v>
      </c>
      <c r="J686" t="s">
        <v>15</v>
      </c>
      <c r="K686">
        <v>225.9</v>
      </c>
      <c r="L686">
        <v>225.97</v>
      </c>
      <c r="M686">
        <v>226.99</v>
      </c>
      <c r="N686">
        <v>226.25</v>
      </c>
      <c r="O686" s="1">
        <f t="shared" si="40"/>
        <v>3.0987162461260098E-4</v>
      </c>
      <c r="P686" s="1">
        <f t="shared" si="41"/>
        <v>4.5138735230341176E-3</v>
      </c>
      <c r="Q686" t="str">
        <f t="shared" si="42"/>
        <v>SELL</v>
      </c>
      <c r="R686">
        <f t="shared" si="43"/>
        <v>-24.6399999999994</v>
      </c>
    </row>
    <row r="687" spans="1:18" x14ac:dyDescent="0.2">
      <c r="A687" t="s">
        <v>14</v>
      </c>
      <c r="B687">
        <v>20240111</v>
      </c>
      <c r="C687">
        <v>101716.33</v>
      </c>
      <c r="D687">
        <v>101701.37</v>
      </c>
      <c r="E687">
        <v>1206</v>
      </c>
      <c r="F687">
        <v>1212</v>
      </c>
      <c r="G687" t="s">
        <v>698</v>
      </c>
      <c r="H687">
        <v>-14.960000000006399</v>
      </c>
      <c r="I687">
        <v>6</v>
      </c>
      <c r="J687" t="s">
        <v>15</v>
      </c>
      <c r="K687">
        <v>225.95</v>
      </c>
      <c r="L687">
        <v>226.36</v>
      </c>
      <c r="M687">
        <v>226.46</v>
      </c>
      <c r="N687">
        <v>226.53</v>
      </c>
      <c r="O687" s="1">
        <f t="shared" si="40"/>
        <v>1.8145607435273714E-3</v>
      </c>
      <c r="P687" s="1">
        <f t="shared" si="41"/>
        <v>4.4177416504687095E-4</v>
      </c>
      <c r="Q687" t="str">
        <f t="shared" si="42"/>
        <v>SELL</v>
      </c>
      <c r="R687">
        <f t="shared" si="43"/>
        <v>-14.960000000006399</v>
      </c>
    </row>
    <row r="688" spans="1:18" x14ac:dyDescent="0.2">
      <c r="A688" t="s">
        <v>14</v>
      </c>
      <c r="B688">
        <v>20240111</v>
      </c>
      <c r="C688">
        <v>101701.37</v>
      </c>
      <c r="D688">
        <v>101707.53</v>
      </c>
      <c r="E688">
        <v>1216</v>
      </c>
      <c r="F688">
        <v>1235</v>
      </c>
      <c r="G688" t="s">
        <v>699</v>
      </c>
      <c r="H688">
        <v>6.1600000000034898</v>
      </c>
      <c r="I688">
        <v>19</v>
      </c>
      <c r="J688" t="s">
        <v>15</v>
      </c>
      <c r="K688">
        <v>226.17</v>
      </c>
      <c r="L688">
        <v>226.29</v>
      </c>
      <c r="M688">
        <v>226.62</v>
      </c>
      <c r="N688">
        <v>226.22</v>
      </c>
      <c r="O688" s="1">
        <f t="shared" si="40"/>
        <v>5.30574346730317E-4</v>
      </c>
      <c r="P688" s="1">
        <f t="shared" si="41"/>
        <v>1.4583057139070377E-3</v>
      </c>
      <c r="Q688" t="str">
        <f t="shared" si="42"/>
        <v>SELL</v>
      </c>
      <c r="R688">
        <f t="shared" si="43"/>
        <v>6.1600000000034898</v>
      </c>
    </row>
    <row r="689" spans="1:18" x14ac:dyDescent="0.2">
      <c r="A689" t="s">
        <v>14</v>
      </c>
      <c r="B689">
        <v>20240111</v>
      </c>
      <c r="C689">
        <v>101707.53</v>
      </c>
      <c r="D689">
        <v>101680.25</v>
      </c>
      <c r="E689">
        <v>1239</v>
      </c>
      <c r="F689">
        <v>1240</v>
      </c>
      <c r="G689" t="s">
        <v>700</v>
      </c>
      <c r="H689">
        <v>-27.2799999999988</v>
      </c>
      <c r="I689">
        <v>1</v>
      </c>
      <c r="J689" t="s">
        <v>15</v>
      </c>
      <c r="K689">
        <v>225.85</v>
      </c>
      <c r="L689">
        <v>226.22</v>
      </c>
      <c r="M689">
        <v>226.22</v>
      </c>
      <c r="N689">
        <v>226.53</v>
      </c>
      <c r="O689" s="1">
        <f t="shared" si="40"/>
        <v>1.63825547930041E-3</v>
      </c>
      <c r="P689" s="1">
        <f t="shared" si="41"/>
        <v>0</v>
      </c>
      <c r="Q689" t="str">
        <f t="shared" si="42"/>
        <v>SELL</v>
      </c>
      <c r="R689">
        <f t="shared" si="43"/>
        <v>-27.2799999999988</v>
      </c>
    </row>
    <row r="690" spans="1:18" x14ac:dyDescent="0.2">
      <c r="A690" t="s">
        <v>14</v>
      </c>
      <c r="B690">
        <v>20240111</v>
      </c>
      <c r="C690">
        <v>101680.25</v>
      </c>
      <c r="D690">
        <v>101653.85</v>
      </c>
      <c r="E690">
        <v>1259</v>
      </c>
      <c r="F690">
        <v>1301</v>
      </c>
      <c r="G690" t="s">
        <v>701</v>
      </c>
      <c r="H690">
        <v>-26.399999999994101</v>
      </c>
      <c r="I690">
        <v>2</v>
      </c>
      <c r="J690" t="s">
        <v>15</v>
      </c>
      <c r="K690">
        <v>226.42</v>
      </c>
      <c r="L690">
        <v>226.56</v>
      </c>
      <c r="M690">
        <v>227.42</v>
      </c>
      <c r="N690">
        <v>226.86</v>
      </c>
      <c r="O690" s="1">
        <f t="shared" si="40"/>
        <v>6.1831993640137917E-4</v>
      </c>
      <c r="P690" s="1">
        <f t="shared" si="41"/>
        <v>3.7959039548021156E-3</v>
      </c>
      <c r="Q690" t="str">
        <f t="shared" si="42"/>
        <v>SELL</v>
      </c>
      <c r="R690">
        <f t="shared" si="43"/>
        <v>-26.399999999994101</v>
      </c>
    </row>
    <row r="691" spans="1:18" x14ac:dyDescent="0.2">
      <c r="A691" t="s">
        <v>14</v>
      </c>
      <c r="B691">
        <v>20240111</v>
      </c>
      <c r="C691">
        <v>101653.85</v>
      </c>
      <c r="D691">
        <v>101649.45</v>
      </c>
      <c r="E691">
        <v>1305</v>
      </c>
      <c r="F691">
        <v>1317</v>
      </c>
      <c r="G691" t="s">
        <v>702</v>
      </c>
      <c r="H691">
        <v>-4.4000000000087303</v>
      </c>
      <c r="I691">
        <v>12</v>
      </c>
      <c r="J691" t="s">
        <v>15</v>
      </c>
      <c r="K691">
        <v>226.42</v>
      </c>
      <c r="L691">
        <v>227.01</v>
      </c>
      <c r="M691">
        <v>227.13</v>
      </c>
      <c r="N691">
        <v>227.06</v>
      </c>
      <c r="O691" s="1">
        <f t="shared" si="40"/>
        <v>2.6057768748344312E-3</v>
      </c>
      <c r="P691" s="1">
        <f t="shared" si="41"/>
        <v>5.2861107440205224E-4</v>
      </c>
      <c r="Q691" t="str">
        <f t="shared" si="42"/>
        <v>SELL</v>
      </c>
      <c r="R691">
        <f t="shared" si="43"/>
        <v>-4.4000000000087303</v>
      </c>
    </row>
    <row r="692" spans="1:18" x14ac:dyDescent="0.2">
      <c r="A692" t="s">
        <v>14</v>
      </c>
      <c r="B692">
        <v>20240111</v>
      </c>
      <c r="C692">
        <v>101649.45</v>
      </c>
      <c r="D692">
        <v>101645.05</v>
      </c>
      <c r="E692">
        <v>1321</v>
      </c>
      <c r="F692">
        <v>1340</v>
      </c>
      <c r="G692" t="s">
        <v>703</v>
      </c>
      <c r="H692">
        <v>-4.3999999999941704</v>
      </c>
      <c r="I692">
        <v>19</v>
      </c>
      <c r="J692" t="s">
        <v>15</v>
      </c>
      <c r="K692">
        <v>226.4</v>
      </c>
      <c r="L692">
        <v>227.04</v>
      </c>
      <c r="M692">
        <v>227.11</v>
      </c>
      <c r="N692">
        <v>227.09</v>
      </c>
      <c r="O692" s="1">
        <f t="shared" si="40"/>
        <v>2.8268551236747541E-3</v>
      </c>
      <c r="P692" s="1">
        <f t="shared" si="41"/>
        <v>3.0831571529255086E-4</v>
      </c>
      <c r="Q692" t="str">
        <f t="shared" si="42"/>
        <v>SELL</v>
      </c>
      <c r="R692">
        <f t="shared" si="43"/>
        <v>-4.3999999999941704</v>
      </c>
    </row>
    <row r="693" spans="1:18" x14ac:dyDescent="0.2">
      <c r="A693" t="s">
        <v>14</v>
      </c>
      <c r="B693">
        <v>20240111</v>
      </c>
      <c r="C693">
        <v>101645.05</v>
      </c>
      <c r="D693">
        <v>101638.89</v>
      </c>
      <c r="E693">
        <v>1547</v>
      </c>
      <c r="F693">
        <v>1548</v>
      </c>
      <c r="G693" t="s">
        <v>704</v>
      </c>
      <c r="H693">
        <v>-6.1600000000034898</v>
      </c>
      <c r="I693">
        <v>1</v>
      </c>
      <c r="J693" t="s">
        <v>15</v>
      </c>
      <c r="K693">
        <v>226.79</v>
      </c>
      <c r="L693">
        <v>227.05</v>
      </c>
      <c r="M693">
        <v>227.7</v>
      </c>
      <c r="N693">
        <v>227.12</v>
      </c>
      <c r="O693" s="1">
        <f t="shared" si="40"/>
        <v>1.1464350279994928E-3</v>
      </c>
      <c r="P693" s="1">
        <f t="shared" si="41"/>
        <v>2.8628055494384075E-3</v>
      </c>
      <c r="Q693" t="str">
        <f t="shared" si="42"/>
        <v>SELL</v>
      </c>
      <c r="R693">
        <f t="shared" si="43"/>
        <v>-6.1600000000034898</v>
      </c>
    </row>
    <row r="694" spans="1:18" x14ac:dyDescent="0.2">
      <c r="A694" t="s">
        <v>14</v>
      </c>
      <c r="B694">
        <v>20240111</v>
      </c>
      <c r="C694">
        <v>101638.89</v>
      </c>
      <c r="D694">
        <v>101627.45</v>
      </c>
      <c r="E694">
        <v>1552</v>
      </c>
      <c r="F694">
        <v>1554</v>
      </c>
      <c r="G694" t="s">
        <v>705</v>
      </c>
      <c r="H694">
        <v>-11.4400000000023</v>
      </c>
      <c r="I694">
        <v>2</v>
      </c>
      <c r="J694" t="s">
        <v>15</v>
      </c>
      <c r="K694">
        <v>226.64</v>
      </c>
      <c r="L694">
        <v>226.92</v>
      </c>
      <c r="M694">
        <v>227.27</v>
      </c>
      <c r="N694">
        <v>227.05</v>
      </c>
      <c r="O694" s="1">
        <f t="shared" si="40"/>
        <v>1.2354394634663812E-3</v>
      </c>
      <c r="P694" s="1">
        <f t="shared" si="41"/>
        <v>1.5423937951701827E-3</v>
      </c>
      <c r="Q694" t="str">
        <f t="shared" si="42"/>
        <v>SELL</v>
      </c>
      <c r="R694">
        <f t="shared" si="43"/>
        <v>-11.4400000000023</v>
      </c>
    </row>
    <row r="695" spans="1:18" x14ac:dyDescent="0.2">
      <c r="A695" t="s">
        <v>14</v>
      </c>
      <c r="B695">
        <v>20240112</v>
      </c>
      <c r="C695">
        <v>101627.45</v>
      </c>
      <c r="D695">
        <v>101585.62</v>
      </c>
      <c r="E695">
        <v>933</v>
      </c>
      <c r="F695">
        <v>934</v>
      </c>
      <c r="G695" t="s">
        <v>706</v>
      </c>
      <c r="H695">
        <v>-41.830000000001696</v>
      </c>
      <c r="I695">
        <v>1</v>
      </c>
      <c r="J695" t="s">
        <v>15</v>
      </c>
      <c r="K695">
        <v>221.17</v>
      </c>
      <c r="L695">
        <v>222.79</v>
      </c>
      <c r="M695">
        <v>229.02</v>
      </c>
      <c r="N695">
        <v>223.26</v>
      </c>
      <c r="O695" s="1">
        <f t="shared" si="40"/>
        <v>7.3246823710269027E-3</v>
      </c>
      <c r="P695" s="1">
        <f t="shared" si="41"/>
        <v>2.7963553121773899E-2</v>
      </c>
      <c r="Q695" t="str">
        <f t="shared" si="42"/>
        <v>SELL</v>
      </c>
      <c r="R695">
        <f t="shared" si="43"/>
        <v>-41.830000000001696</v>
      </c>
    </row>
    <row r="696" spans="1:18" x14ac:dyDescent="0.2">
      <c r="A696" t="s">
        <v>14</v>
      </c>
      <c r="B696">
        <v>20240112</v>
      </c>
      <c r="C696">
        <v>101585.62</v>
      </c>
      <c r="D696">
        <v>101575.72</v>
      </c>
      <c r="E696">
        <v>1053</v>
      </c>
      <c r="F696">
        <v>1054</v>
      </c>
      <c r="G696" t="s">
        <v>707</v>
      </c>
      <c r="H696">
        <v>-9.8999999999941792</v>
      </c>
      <c r="I696">
        <v>1</v>
      </c>
      <c r="J696" t="s">
        <v>15</v>
      </c>
      <c r="K696">
        <v>220.62</v>
      </c>
      <c r="L696">
        <v>220.63</v>
      </c>
      <c r="M696">
        <v>221.81</v>
      </c>
      <c r="N696">
        <v>220.74</v>
      </c>
      <c r="O696" s="1">
        <f t="shared" si="40"/>
        <v>4.5326806273227049E-5</v>
      </c>
      <c r="P696" s="1">
        <f t="shared" si="41"/>
        <v>5.3483207179441106E-3</v>
      </c>
      <c r="Q696" t="str">
        <f t="shared" si="42"/>
        <v>IDLE</v>
      </c>
      <c r="R696">
        <f t="shared" si="43"/>
        <v>0</v>
      </c>
    </row>
    <row r="697" spans="1:18" x14ac:dyDescent="0.2">
      <c r="A697" t="s">
        <v>14</v>
      </c>
      <c r="B697">
        <v>20240112</v>
      </c>
      <c r="C697">
        <v>101575.72</v>
      </c>
      <c r="D697">
        <v>101555.02</v>
      </c>
      <c r="E697">
        <v>1058</v>
      </c>
      <c r="F697">
        <v>1108</v>
      </c>
      <c r="G697" t="s">
        <v>708</v>
      </c>
      <c r="H697">
        <v>-20.699999999997001</v>
      </c>
      <c r="I697">
        <v>10</v>
      </c>
      <c r="J697" t="s">
        <v>15</v>
      </c>
      <c r="K697">
        <v>220.65</v>
      </c>
      <c r="L697">
        <v>220.91</v>
      </c>
      <c r="M697">
        <v>221.11</v>
      </c>
      <c r="N697">
        <v>221.14</v>
      </c>
      <c r="O697" s="1">
        <f t="shared" si="40"/>
        <v>1.1783367323816574E-3</v>
      </c>
      <c r="P697" s="1">
        <f t="shared" si="41"/>
        <v>9.0534606853487354E-4</v>
      </c>
      <c r="Q697" t="str">
        <f t="shared" si="42"/>
        <v>SELL</v>
      </c>
      <c r="R697">
        <f t="shared" si="43"/>
        <v>-20.699999999997001</v>
      </c>
    </row>
    <row r="698" spans="1:18" x14ac:dyDescent="0.2">
      <c r="A698" t="s">
        <v>14</v>
      </c>
      <c r="B698">
        <v>20240112</v>
      </c>
      <c r="C698">
        <v>101555.02</v>
      </c>
      <c r="D698">
        <v>101793.52</v>
      </c>
      <c r="E698">
        <v>1134</v>
      </c>
      <c r="F698">
        <v>1200</v>
      </c>
      <c r="G698" t="s">
        <v>709</v>
      </c>
      <c r="H698">
        <v>238.5</v>
      </c>
      <c r="I698">
        <v>26</v>
      </c>
      <c r="J698" t="s">
        <v>15</v>
      </c>
      <c r="K698">
        <v>221.01</v>
      </c>
      <c r="L698">
        <v>221.04</v>
      </c>
      <c r="M698">
        <v>222.22</v>
      </c>
      <c r="N698">
        <v>218.39</v>
      </c>
      <c r="O698" s="1">
        <f t="shared" si="40"/>
        <v>1.3574046423237007E-4</v>
      </c>
      <c r="P698" s="1">
        <f t="shared" si="41"/>
        <v>5.3384002895404681E-3</v>
      </c>
      <c r="Q698" t="str">
        <f t="shared" si="42"/>
        <v>SELL</v>
      </c>
      <c r="R698">
        <f t="shared" si="43"/>
        <v>238.5</v>
      </c>
    </row>
    <row r="699" spans="1:18" x14ac:dyDescent="0.2">
      <c r="A699" t="s">
        <v>14</v>
      </c>
      <c r="B699">
        <v>20240112</v>
      </c>
      <c r="C699">
        <v>101793.52</v>
      </c>
      <c r="D699">
        <v>101752.57</v>
      </c>
      <c r="E699">
        <v>1204</v>
      </c>
      <c r="F699">
        <v>1206</v>
      </c>
      <c r="G699" t="s">
        <v>710</v>
      </c>
      <c r="H699">
        <v>-40.949999999996997</v>
      </c>
      <c r="I699">
        <v>2</v>
      </c>
      <c r="J699" t="s">
        <v>15</v>
      </c>
      <c r="K699">
        <v>217.67</v>
      </c>
      <c r="L699">
        <v>217.57</v>
      </c>
      <c r="M699">
        <v>218.36</v>
      </c>
      <c r="N699">
        <v>218.02</v>
      </c>
      <c r="O699" s="1">
        <f t="shared" si="40"/>
        <v>-4.594110350529812E-4</v>
      </c>
      <c r="P699" s="1">
        <f t="shared" si="41"/>
        <v>3.6310153054190941E-3</v>
      </c>
      <c r="Q699" t="str">
        <f t="shared" si="42"/>
        <v>IDLE</v>
      </c>
      <c r="R699">
        <f t="shared" si="43"/>
        <v>0</v>
      </c>
    </row>
    <row r="700" spans="1:18" x14ac:dyDescent="0.2">
      <c r="A700" t="s">
        <v>14</v>
      </c>
      <c r="B700">
        <v>20240112</v>
      </c>
      <c r="C700">
        <v>101752.57</v>
      </c>
      <c r="D700">
        <v>101713.44</v>
      </c>
      <c r="E700">
        <v>1210</v>
      </c>
      <c r="F700">
        <v>1211</v>
      </c>
      <c r="G700" t="s">
        <v>711</v>
      </c>
      <c r="H700">
        <v>-39.1300000000046</v>
      </c>
      <c r="I700">
        <v>1</v>
      </c>
      <c r="J700" t="s">
        <v>15</v>
      </c>
      <c r="K700">
        <v>217.44</v>
      </c>
      <c r="L700">
        <v>217.67</v>
      </c>
      <c r="M700">
        <v>218.16</v>
      </c>
      <c r="N700">
        <v>218.1</v>
      </c>
      <c r="O700" s="1">
        <f t="shared" si="40"/>
        <v>1.0577630610741906E-3</v>
      </c>
      <c r="P700" s="1">
        <f t="shared" si="41"/>
        <v>2.2511140717600409E-3</v>
      </c>
      <c r="Q700" t="str">
        <f t="shared" si="42"/>
        <v>SELL</v>
      </c>
      <c r="R700">
        <f t="shared" si="43"/>
        <v>-39.1300000000046</v>
      </c>
    </row>
    <row r="701" spans="1:18" x14ac:dyDescent="0.2">
      <c r="A701" t="s">
        <v>14</v>
      </c>
      <c r="B701">
        <v>20240112</v>
      </c>
      <c r="C701">
        <v>101713.44</v>
      </c>
      <c r="D701">
        <v>101743.47</v>
      </c>
      <c r="E701">
        <v>1332</v>
      </c>
      <c r="F701">
        <v>1355</v>
      </c>
      <c r="G701" t="s">
        <v>712</v>
      </c>
      <c r="H701">
        <v>30.0299999999988</v>
      </c>
      <c r="I701">
        <v>23</v>
      </c>
      <c r="J701" t="s">
        <v>15</v>
      </c>
      <c r="K701">
        <v>219.1</v>
      </c>
      <c r="L701">
        <v>219.01</v>
      </c>
      <c r="M701">
        <v>219.47</v>
      </c>
      <c r="N701">
        <v>218.68</v>
      </c>
      <c r="O701" s="1">
        <f t="shared" si="40"/>
        <v>-4.1077133728895099E-4</v>
      </c>
      <c r="P701" s="1">
        <f t="shared" si="41"/>
        <v>2.1003607141227842E-3</v>
      </c>
      <c r="Q701" t="str">
        <f t="shared" si="42"/>
        <v>IDLE</v>
      </c>
      <c r="R701">
        <f t="shared" si="43"/>
        <v>0</v>
      </c>
    </row>
    <row r="702" spans="1:18" x14ac:dyDescent="0.2">
      <c r="A702" t="s">
        <v>14</v>
      </c>
      <c r="B702">
        <v>20240112</v>
      </c>
      <c r="C702">
        <v>101743.47</v>
      </c>
      <c r="D702">
        <v>101719.81</v>
      </c>
      <c r="E702">
        <v>1359</v>
      </c>
      <c r="F702">
        <v>1400</v>
      </c>
      <c r="G702" t="s">
        <v>713</v>
      </c>
      <c r="H702">
        <v>-23.6600000000034</v>
      </c>
      <c r="I702">
        <v>1</v>
      </c>
      <c r="J702" t="s">
        <v>15</v>
      </c>
      <c r="K702">
        <v>218.02</v>
      </c>
      <c r="L702">
        <v>218.57</v>
      </c>
      <c r="M702">
        <v>218.77</v>
      </c>
      <c r="N702">
        <v>218.83</v>
      </c>
      <c r="O702" s="1">
        <f t="shared" si="40"/>
        <v>2.5227043390514403E-3</v>
      </c>
      <c r="P702" s="1">
        <f t="shared" si="41"/>
        <v>9.150386603835603E-4</v>
      </c>
      <c r="Q702" t="str">
        <f t="shared" si="42"/>
        <v>SELL</v>
      </c>
      <c r="R702">
        <f t="shared" si="43"/>
        <v>-23.6600000000034</v>
      </c>
    </row>
    <row r="703" spans="1:18" x14ac:dyDescent="0.2">
      <c r="A703" t="s">
        <v>14</v>
      </c>
      <c r="B703">
        <v>20240112</v>
      </c>
      <c r="C703">
        <v>101719.81</v>
      </c>
      <c r="D703">
        <v>101703.43</v>
      </c>
      <c r="E703">
        <v>1423</v>
      </c>
      <c r="F703">
        <v>1424</v>
      </c>
      <c r="G703" t="s">
        <v>714</v>
      </c>
      <c r="H703">
        <v>-16.3800000000046</v>
      </c>
      <c r="I703">
        <v>1</v>
      </c>
      <c r="J703" t="s">
        <v>15</v>
      </c>
      <c r="K703">
        <v>217.96</v>
      </c>
      <c r="L703">
        <v>217.89</v>
      </c>
      <c r="M703">
        <v>218.69</v>
      </c>
      <c r="N703">
        <v>218.07</v>
      </c>
      <c r="O703" s="1">
        <f t="shared" si="40"/>
        <v>-3.2115984584335511E-4</v>
      </c>
      <c r="P703" s="1">
        <f t="shared" si="41"/>
        <v>3.671577401441084E-3</v>
      </c>
      <c r="Q703" t="str">
        <f t="shared" si="42"/>
        <v>IDLE</v>
      </c>
      <c r="R703">
        <f t="shared" si="43"/>
        <v>0</v>
      </c>
    </row>
    <row r="704" spans="1:18" x14ac:dyDescent="0.2">
      <c r="A704" t="s">
        <v>14</v>
      </c>
      <c r="B704">
        <v>20240112</v>
      </c>
      <c r="C704">
        <v>101703.43</v>
      </c>
      <c r="D704">
        <v>101718.9</v>
      </c>
      <c r="E704">
        <v>1428</v>
      </c>
      <c r="F704">
        <v>1440</v>
      </c>
      <c r="G704" t="s">
        <v>715</v>
      </c>
      <c r="H704">
        <v>15.4700000000011</v>
      </c>
      <c r="I704">
        <v>12</v>
      </c>
      <c r="J704" t="s">
        <v>15</v>
      </c>
      <c r="K704">
        <v>217.82</v>
      </c>
      <c r="L704">
        <v>217.93</v>
      </c>
      <c r="M704">
        <v>218.32</v>
      </c>
      <c r="N704">
        <v>217.76</v>
      </c>
      <c r="O704" s="1">
        <f t="shared" si="40"/>
        <v>5.0500413185194937E-4</v>
      </c>
      <c r="P704" s="1">
        <f t="shared" si="41"/>
        <v>1.7895654567980923E-3</v>
      </c>
      <c r="Q704" t="str">
        <f t="shared" si="42"/>
        <v>SELL</v>
      </c>
      <c r="R704">
        <f t="shared" si="43"/>
        <v>15.4700000000011</v>
      </c>
    </row>
    <row r="705" spans="1:18" x14ac:dyDescent="0.2">
      <c r="A705" t="s">
        <v>14</v>
      </c>
      <c r="B705">
        <v>20240116</v>
      </c>
      <c r="C705">
        <v>101718.9</v>
      </c>
      <c r="D705">
        <v>101680.36</v>
      </c>
      <c r="E705">
        <v>933</v>
      </c>
      <c r="F705">
        <v>936</v>
      </c>
      <c r="G705" t="s">
        <v>716</v>
      </c>
      <c r="H705">
        <v>-38.539999999993597</v>
      </c>
      <c r="I705">
        <v>3</v>
      </c>
      <c r="J705" t="s">
        <v>15</v>
      </c>
      <c r="K705">
        <v>212.83</v>
      </c>
      <c r="L705">
        <v>212.69</v>
      </c>
      <c r="M705">
        <v>220.75</v>
      </c>
      <c r="N705">
        <v>213.1</v>
      </c>
      <c r="O705" s="1">
        <f t="shared" si="40"/>
        <v>-6.5780200159759605E-4</v>
      </c>
      <c r="P705" s="1">
        <f t="shared" si="41"/>
        <v>3.7895528703747239E-2</v>
      </c>
      <c r="Q705" t="str">
        <f t="shared" si="42"/>
        <v>IDLE</v>
      </c>
      <c r="R705">
        <f t="shared" si="43"/>
        <v>0</v>
      </c>
    </row>
    <row r="706" spans="1:18" x14ac:dyDescent="0.2">
      <c r="A706" t="s">
        <v>14</v>
      </c>
      <c r="B706">
        <v>20240116</v>
      </c>
      <c r="C706">
        <v>101680.36</v>
      </c>
      <c r="D706">
        <v>101597.59</v>
      </c>
      <c r="E706">
        <v>940</v>
      </c>
      <c r="F706">
        <v>943</v>
      </c>
      <c r="G706" t="s">
        <v>717</v>
      </c>
      <c r="H706">
        <v>-82.770000000004003</v>
      </c>
      <c r="I706">
        <v>3</v>
      </c>
      <c r="J706" t="s">
        <v>15</v>
      </c>
      <c r="K706">
        <v>212.33</v>
      </c>
      <c r="L706">
        <v>213.33</v>
      </c>
      <c r="M706">
        <v>213.54</v>
      </c>
      <c r="N706">
        <v>214.22</v>
      </c>
      <c r="O706" s="1">
        <f t="shared" si="40"/>
        <v>4.709650072999505E-3</v>
      </c>
      <c r="P706" s="1">
        <f t="shared" si="41"/>
        <v>9.8439038109954247E-4</v>
      </c>
      <c r="Q706" t="str">
        <f t="shared" si="42"/>
        <v>SELL</v>
      </c>
      <c r="R706">
        <f t="shared" si="43"/>
        <v>-82.770000000004003</v>
      </c>
    </row>
    <row r="707" spans="1:18" x14ac:dyDescent="0.2">
      <c r="A707" t="s">
        <v>14</v>
      </c>
      <c r="B707">
        <v>20240116</v>
      </c>
      <c r="C707">
        <v>101597.59</v>
      </c>
      <c r="D707">
        <v>101503.66</v>
      </c>
      <c r="E707">
        <v>947</v>
      </c>
      <c r="F707">
        <v>948</v>
      </c>
      <c r="G707" t="s">
        <v>718</v>
      </c>
      <c r="H707">
        <v>-93.929999999993001</v>
      </c>
      <c r="I707">
        <v>1</v>
      </c>
      <c r="J707" t="s">
        <v>15</v>
      </c>
      <c r="K707">
        <v>212.89</v>
      </c>
      <c r="L707">
        <v>213.18</v>
      </c>
      <c r="M707">
        <v>214.17</v>
      </c>
      <c r="N707">
        <v>214.19</v>
      </c>
      <c r="O707" s="1">
        <f t="shared" si="40"/>
        <v>1.3622058339988197E-3</v>
      </c>
      <c r="P707" s="1">
        <f t="shared" si="41"/>
        <v>4.6439628482970452E-3</v>
      </c>
      <c r="Q707" t="str">
        <f t="shared" si="42"/>
        <v>SELL</v>
      </c>
      <c r="R707">
        <f t="shared" si="43"/>
        <v>-93.929999999993001</v>
      </c>
    </row>
    <row r="708" spans="1:18" x14ac:dyDescent="0.2">
      <c r="A708" t="s">
        <v>14</v>
      </c>
      <c r="B708">
        <v>20240116</v>
      </c>
      <c r="C708">
        <v>101503.66</v>
      </c>
      <c r="D708">
        <v>101474.54</v>
      </c>
      <c r="E708">
        <v>1003</v>
      </c>
      <c r="F708">
        <v>1004</v>
      </c>
      <c r="G708" t="s">
        <v>719</v>
      </c>
      <c r="H708">
        <v>-29.120000000009799</v>
      </c>
      <c r="I708">
        <v>1</v>
      </c>
      <c r="J708" t="s">
        <v>16</v>
      </c>
      <c r="K708">
        <v>217.18</v>
      </c>
      <c r="L708">
        <v>219.48</v>
      </c>
      <c r="M708">
        <v>219.97</v>
      </c>
      <c r="N708">
        <v>219.16</v>
      </c>
      <c r="O708" s="1">
        <f t="shared" ref="O708:O771" si="44">(L708/K708)-1</f>
        <v>1.0590293765539993E-2</v>
      </c>
      <c r="P708" s="1">
        <f t="shared" ref="P708:P771" si="45">(M708/L708)-1</f>
        <v>2.2325496628394781E-3</v>
      </c>
      <c r="Q708" t="str">
        <f t="shared" ref="Q708:Q771" si="46">IF(J708="SELL",IF(O708&gt;=$O$1,"SELL","IDLE"),IF(P708&gt;=$P$1,"BUY","IDLE"))</f>
        <v>IDLE</v>
      </c>
      <c r="R708">
        <f t="shared" ref="R708:R771" si="47">IF(Q708&lt;&gt;"IDLE",H708,0)</f>
        <v>0</v>
      </c>
    </row>
    <row r="709" spans="1:18" x14ac:dyDescent="0.2">
      <c r="A709" t="s">
        <v>14</v>
      </c>
      <c r="B709">
        <v>20240116</v>
      </c>
      <c r="C709">
        <v>101474.54</v>
      </c>
      <c r="D709">
        <v>101655.44</v>
      </c>
      <c r="E709">
        <v>1008</v>
      </c>
      <c r="F709">
        <v>1026</v>
      </c>
      <c r="G709" t="s">
        <v>720</v>
      </c>
      <c r="H709">
        <v>180.90000000000799</v>
      </c>
      <c r="I709">
        <v>18</v>
      </c>
      <c r="J709" t="s">
        <v>16</v>
      </c>
      <c r="K709">
        <v>218.83</v>
      </c>
      <c r="L709">
        <v>220.79</v>
      </c>
      <c r="M709">
        <v>220.65</v>
      </c>
      <c r="N709">
        <v>222.8</v>
      </c>
      <c r="O709" s="1">
        <f t="shared" si="44"/>
        <v>8.9567243979342681E-3</v>
      </c>
      <c r="P709" s="1">
        <f t="shared" si="45"/>
        <v>-6.3408668870867935E-4</v>
      </c>
      <c r="Q709" t="str">
        <f t="shared" si="46"/>
        <v>IDLE</v>
      </c>
      <c r="R709">
        <f t="shared" si="47"/>
        <v>0</v>
      </c>
    </row>
    <row r="710" spans="1:18" x14ac:dyDescent="0.2">
      <c r="A710" t="s">
        <v>14</v>
      </c>
      <c r="B710">
        <v>20240116</v>
      </c>
      <c r="C710">
        <v>101655.44</v>
      </c>
      <c r="D710">
        <v>101585.13</v>
      </c>
      <c r="E710">
        <v>1030</v>
      </c>
      <c r="F710">
        <v>1031</v>
      </c>
      <c r="G710" t="s">
        <v>721</v>
      </c>
      <c r="H710">
        <v>-70.309999999997601</v>
      </c>
      <c r="I710">
        <v>1</v>
      </c>
      <c r="J710" t="s">
        <v>16</v>
      </c>
      <c r="K710">
        <v>222.46</v>
      </c>
      <c r="L710">
        <v>223.37</v>
      </c>
      <c r="M710">
        <v>223.66</v>
      </c>
      <c r="N710">
        <v>222.58</v>
      </c>
      <c r="O710" s="1">
        <f t="shared" si="44"/>
        <v>4.0906230333543903E-3</v>
      </c>
      <c r="P710" s="1">
        <f t="shared" si="45"/>
        <v>1.2982943098893696E-3</v>
      </c>
      <c r="Q710" t="str">
        <f t="shared" si="46"/>
        <v>IDLE</v>
      </c>
      <c r="R710">
        <f t="shared" si="47"/>
        <v>0</v>
      </c>
    </row>
    <row r="711" spans="1:18" x14ac:dyDescent="0.2">
      <c r="A711" t="s">
        <v>14</v>
      </c>
      <c r="B711">
        <v>20240116</v>
      </c>
      <c r="C711">
        <v>101585.13</v>
      </c>
      <c r="D711">
        <v>101541.52</v>
      </c>
      <c r="E711">
        <v>1035</v>
      </c>
      <c r="F711">
        <v>1036</v>
      </c>
      <c r="G711" t="s">
        <v>722</v>
      </c>
      <c r="H711">
        <v>-43.610000000000497</v>
      </c>
      <c r="I711">
        <v>1</v>
      </c>
      <c r="J711" t="s">
        <v>16</v>
      </c>
      <c r="K711">
        <v>222.28</v>
      </c>
      <c r="L711">
        <v>222.32</v>
      </c>
      <c r="M711">
        <v>223.38</v>
      </c>
      <c r="N711">
        <v>221.83</v>
      </c>
      <c r="O711" s="1">
        <f t="shared" si="44"/>
        <v>1.7995321216490723E-4</v>
      </c>
      <c r="P711" s="1">
        <f t="shared" si="45"/>
        <v>4.7679021230657703E-3</v>
      </c>
      <c r="Q711" t="str">
        <f t="shared" si="46"/>
        <v>BUY</v>
      </c>
      <c r="R711">
        <f t="shared" si="47"/>
        <v>-43.610000000000497</v>
      </c>
    </row>
    <row r="712" spans="1:18" x14ac:dyDescent="0.2">
      <c r="A712" t="s">
        <v>14</v>
      </c>
      <c r="B712">
        <v>20240116</v>
      </c>
      <c r="C712">
        <v>101541.52</v>
      </c>
      <c r="D712">
        <v>101512.72</v>
      </c>
      <c r="E712">
        <v>1127</v>
      </c>
      <c r="F712">
        <v>1129</v>
      </c>
      <c r="G712" t="s">
        <v>723</v>
      </c>
      <c r="H712">
        <v>-28.8000000000029</v>
      </c>
      <c r="I712">
        <v>2</v>
      </c>
      <c r="J712" t="s">
        <v>16</v>
      </c>
      <c r="K712">
        <v>221.09</v>
      </c>
      <c r="L712">
        <v>221.75</v>
      </c>
      <c r="M712">
        <v>222</v>
      </c>
      <c r="N712">
        <v>221.43</v>
      </c>
      <c r="O712" s="1">
        <f t="shared" si="44"/>
        <v>2.9852096431317587E-3</v>
      </c>
      <c r="P712" s="1">
        <f t="shared" si="45"/>
        <v>1.1273957158963732E-3</v>
      </c>
      <c r="Q712" t="str">
        <f t="shared" si="46"/>
        <v>IDLE</v>
      </c>
      <c r="R712">
        <f t="shared" si="47"/>
        <v>0</v>
      </c>
    </row>
    <row r="713" spans="1:18" x14ac:dyDescent="0.2">
      <c r="A713" t="s">
        <v>14</v>
      </c>
      <c r="B713">
        <v>20240116</v>
      </c>
      <c r="C713">
        <v>101512.72</v>
      </c>
      <c r="D713">
        <v>101498.32</v>
      </c>
      <c r="E713">
        <v>1133</v>
      </c>
      <c r="F713">
        <v>1136</v>
      </c>
      <c r="G713" t="s">
        <v>724</v>
      </c>
      <c r="H713">
        <v>-14.399999999994099</v>
      </c>
      <c r="I713">
        <v>3</v>
      </c>
      <c r="J713" t="s">
        <v>16</v>
      </c>
      <c r="K713">
        <v>221.53</v>
      </c>
      <c r="L713">
        <v>221.73</v>
      </c>
      <c r="M713">
        <v>221.97</v>
      </c>
      <c r="N713">
        <v>221.57</v>
      </c>
      <c r="O713" s="1">
        <f t="shared" si="44"/>
        <v>9.0281226019039984E-4</v>
      </c>
      <c r="P713" s="1">
        <f t="shared" si="45"/>
        <v>1.0823975104856665E-3</v>
      </c>
      <c r="Q713" t="str">
        <f t="shared" si="46"/>
        <v>IDLE</v>
      </c>
      <c r="R713">
        <f t="shared" si="47"/>
        <v>0</v>
      </c>
    </row>
    <row r="714" spans="1:18" x14ac:dyDescent="0.2">
      <c r="A714" t="s">
        <v>14</v>
      </c>
      <c r="B714">
        <v>20240116</v>
      </c>
      <c r="C714">
        <v>101498.32</v>
      </c>
      <c r="D714">
        <v>101472.22</v>
      </c>
      <c r="E714">
        <v>1140</v>
      </c>
      <c r="F714">
        <v>1143</v>
      </c>
      <c r="G714" t="s">
        <v>725</v>
      </c>
      <c r="H714">
        <v>-26.100000000005799</v>
      </c>
      <c r="I714">
        <v>3</v>
      </c>
      <c r="J714" t="s">
        <v>16</v>
      </c>
      <c r="K714">
        <v>221.04</v>
      </c>
      <c r="L714">
        <v>221.07</v>
      </c>
      <c r="M714">
        <v>221.97</v>
      </c>
      <c r="N714">
        <v>220.78</v>
      </c>
      <c r="O714" s="1">
        <f t="shared" si="44"/>
        <v>1.3572204125944509E-4</v>
      </c>
      <c r="P714" s="1">
        <f t="shared" si="45"/>
        <v>4.0711086986022771E-3</v>
      </c>
      <c r="Q714" t="str">
        <f t="shared" si="46"/>
        <v>IDLE</v>
      </c>
      <c r="R714">
        <f t="shared" si="47"/>
        <v>0</v>
      </c>
    </row>
    <row r="715" spans="1:18" x14ac:dyDescent="0.2">
      <c r="A715" t="s">
        <v>14</v>
      </c>
      <c r="B715">
        <v>20240116</v>
      </c>
      <c r="C715">
        <v>101472.22</v>
      </c>
      <c r="D715">
        <v>101441.62</v>
      </c>
      <c r="E715">
        <v>1318</v>
      </c>
      <c r="F715">
        <v>1320</v>
      </c>
      <c r="G715" t="s">
        <v>726</v>
      </c>
      <c r="H715">
        <v>-30.600000000005799</v>
      </c>
      <c r="I715">
        <v>2</v>
      </c>
      <c r="J715" t="s">
        <v>16</v>
      </c>
      <c r="K715">
        <v>220.16</v>
      </c>
      <c r="L715">
        <v>221.14</v>
      </c>
      <c r="M715">
        <v>221.03</v>
      </c>
      <c r="N715">
        <v>220.8</v>
      </c>
      <c r="O715" s="1">
        <f t="shared" si="44"/>
        <v>4.4513081395347598E-3</v>
      </c>
      <c r="P715" s="1">
        <f t="shared" si="45"/>
        <v>-4.9742244731831864E-4</v>
      </c>
      <c r="Q715" t="str">
        <f t="shared" si="46"/>
        <v>IDLE</v>
      </c>
      <c r="R715">
        <f t="shared" si="47"/>
        <v>0</v>
      </c>
    </row>
    <row r="716" spans="1:18" x14ac:dyDescent="0.2">
      <c r="A716" t="s">
        <v>14</v>
      </c>
      <c r="B716">
        <v>20240116</v>
      </c>
      <c r="C716">
        <v>101441.62</v>
      </c>
      <c r="D716">
        <v>101430.82</v>
      </c>
      <c r="E716">
        <v>1324</v>
      </c>
      <c r="F716">
        <v>1325</v>
      </c>
      <c r="G716" t="s">
        <v>727</v>
      </c>
      <c r="H716">
        <v>-10.7999999999883</v>
      </c>
      <c r="I716">
        <v>1</v>
      </c>
      <c r="J716" t="s">
        <v>16</v>
      </c>
      <c r="K716">
        <v>220.67</v>
      </c>
      <c r="L716">
        <v>220.83</v>
      </c>
      <c r="M716">
        <v>221.09</v>
      </c>
      <c r="N716">
        <v>220.71</v>
      </c>
      <c r="O716" s="1">
        <f t="shared" si="44"/>
        <v>7.2506457606391628E-4</v>
      </c>
      <c r="P716" s="1">
        <f t="shared" si="45"/>
        <v>1.1773762622830919E-3</v>
      </c>
      <c r="Q716" t="str">
        <f t="shared" si="46"/>
        <v>IDLE</v>
      </c>
      <c r="R716">
        <f t="shared" si="47"/>
        <v>0</v>
      </c>
    </row>
    <row r="717" spans="1:18" x14ac:dyDescent="0.2">
      <c r="A717" t="s">
        <v>14</v>
      </c>
      <c r="B717">
        <v>20240116</v>
      </c>
      <c r="C717">
        <v>101430.82</v>
      </c>
      <c r="D717">
        <v>101405.62</v>
      </c>
      <c r="E717">
        <v>1329</v>
      </c>
      <c r="F717">
        <v>1332</v>
      </c>
      <c r="G717" t="s">
        <v>728</v>
      </c>
      <c r="H717">
        <v>-25.200000000011599</v>
      </c>
      <c r="I717">
        <v>3</v>
      </c>
      <c r="J717" t="s">
        <v>16</v>
      </c>
      <c r="K717">
        <v>220.65</v>
      </c>
      <c r="L717">
        <v>221.2</v>
      </c>
      <c r="M717">
        <v>221.07</v>
      </c>
      <c r="N717">
        <v>220.92</v>
      </c>
      <c r="O717" s="1">
        <f t="shared" si="44"/>
        <v>2.4926353954224378E-3</v>
      </c>
      <c r="P717" s="1">
        <f t="shared" si="45"/>
        <v>-5.8770343580472062E-4</v>
      </c>
      <c r="Q717" t="str">
        <f t="shared" si="46"/>
        <v>IDLE</v>
      </c>
      <c r="R717">
        <f t="shared" si="47"/>
        <v>0</v>
      </c>
    </row>
    <row r="718" spans="1:18" x14ac:dyDescent="0.2">
      <c r="A718" t="s">
        <v>14</v>
      </c>
      <c r="B718">
        <v>20240116</v>
      </c>
      <c r="C718">
        <v>101405.62</v>
      </c>
      <c r="D718">
        <v>101391.22</v>
      </c>
      <c r="E718">
        <v>1336</v>
      </c>
      <c r="F718">
        <v>1337</v>
      </c>
      <c r="G718" t="s">
        <v>729</v>
      </c>
      <c r="H718">
        <v>-14.399999999994099</v>
      </c>
      <c r="I718">
        <v>1</v>
      </c>
      <c r="J718" t="s">
        <v>16</v>
      </c>
      <c r="K718">
        <v>220.73</v>
      </c>
      <c r="L718">
        <v>220.8</v>
      </c>
      <c r="M718">
        <v>221.13</v>
      </c>
      <c r="N718">
        <v>220.64</v>
      </c>
      <c r="O718" s="1">
        <f t="shared" si="44"/>
        <v>3.1712952475881906E-4</v>
      </c>
      <c r="P718" s="1">
        <f t="shared" si="45"/>
        <v>1.4945652173912194E-3</v>
      </c>
      <c r="Q718" t="str">
        <f t="shared" si="46"/>
        <v>IDLE</v>
      </c>
      <c r="R718">
        <f t="shared" si="47"/>
        <v>0</v>
      </c>
    </row>
    <row r="719" spans="1:18" x14ac:dyDescent="0.2">
      <c r="A719" t="s">
        <v>14</v>
      </c>
      <c r="B719">
        <v>20240117</v>
      </c>
      <c r="C719">
        <v>101391.22</v>
      </c>
      <c r="D719">
        <v>101387.5</v>
      </c>
      <c r="E719">
        <v>933</v>
      </c>
      <c r="F719">
        <v>937</v>
      </c>
      <c r="G719" t="s">
        <v>730</v>
      </c>
      <c r="H719">
        <v>-3.7200000000011602</v>
      </c>
      <c r="I719">
        <v>4</v>
      </c>
      <c r="J719" t="s">
        <v>15</v>
      </c>
      <c r="K719">
        <v>213.61</v>
      </c>
      <c r="L719">
        <v>213.92</v>
      </c>
      <c r="M719">
        <v>221.79</v>
      </c>
      <c r="N719">
        <v>213.96</v>
      </c>
      <c r="O719" s="1">
        <f t="shared" si="44"/>
        <v>1.4512429193389575E-3</v>
      </c>
      <c r="P719" s="1">
        <f t="shared" si="45"/>
        <v>3.6789454001495914E-2</v>
      </c>
      <c r="Q719" t="str">
        <f t="shared" si="46"/>
        <v>SELL</v>
      </c>
      <c r="R719">
        <f t="shared" si="47"/>
        <v>-3.7200000000011602</v>
      </c>
    </row>
    <row r="720" spans="1:18" x14ac:dyDescent="0.2">
      <c r="A720" t="s">
        <v>14</v>
      </c>
      <c r="B720">
        <v>20240117</v>
      </c>
      <c r="C720">
        <v>101387.5</v>
      </c>
      <c r="D720">
        <v>101420.62</v>
      </c>
      <c r="E720">
        <v>941</v>
      </c>
      <c r="F720">
        <v>945</v>
      </c>
      <c r="G720" t="s">
        <v>731</v>
      </c>
      <c r="H720">
        <v>33.119999999995301</v>
      </c>
      <c r="I720">
        <v>4</v>
      </c>
      <c r="J720" t="s">
        <v>15</v>
      </c>
      <c r="K720">
        <v>212.57</v>
      </c>
      <c r="L720">
        <v>215.32</v>
      </c>
      <c r="M720">
        <v>215.25</v>
      </c>
      <c r="N720">
        <v>214.96</v>
      </c>
      <c r="O720" s="1">
        <f t="shared" si="44"/>
        <v>1.2936914898621588E-2</v>
      </c>
      <c r="P720" s="1">
        <f t="shared" si="45"/>
        <v>-3.2509752925879987E-4</v>
      </c>
      <c r="Q720" t="str">
        <f t="shared" si="46"/>
        <v>SELL</v>
      </c>
      <c r="R720">
        <f t="shared" si="47"/>
        <v>33.119999999995301</v>
      </c>
    </row>
    <row r="721" spans="1:18" x14ac:dyDescent="0.2">
      <c r="A721" t="s">
        <v>14</v>
      </c>
      <c r="B721">
        <v>20240117</v>
      </c>
      <c r="C721">
        <v>101420.62</v>
      </c>
      <c r="D721">
        <v>101353.66</v>
      </c>
      <c r="E721">
        <v>949</v>
      </c>
      <c r="F721">
        <v>951</v>
      </c>
      <c r="G721" t="s">
        <v>732</v>
      </c>
      <c r="H721">
        <v>-66.959999999991794</v>
      </c>
      <c r="I721">
        <v>2</v>
      </c>
      <c r="J721" t="s">
        <v>15</v>
      </c>
      <c r="K721">
        <v>213.56</v>
      </c>
      <c r="L721">
        <v>213.67</v>
      </c>
      <c r="M721">
        <v>215.49</v>
      </c>
      <c r="N721">
        <v>214.39</v>
      </c>
      <c r="O721" s="1">
        <f t="shared" si="44"/>
        <v>5.1507772991188361E-4</v>
      </c>
      <c r="P721" s="1">
        <f t="shared" si="45"/>
        <v>8.5178078345111707E-3</v>
      </c>
      <c r="Q721" t="str">
        <f t="shared" si="46"/>
        <v>SELL</v>
      </c>
      <c r="R721">
        <f t="shared" si="47"/>
        <v>-66.959999999991794</v>
      </c>
    </row>
    <row r="722" spans="1:18" x14ac:dyDescent="0.2">
      <c r="A722" t="s">
        <v>14</v>
      </c>
      <c r="B722">
        <v>20240117</v>
      </c>
      <c r="C722">
        <v>101353.66</v>
      </c>
      <c r="D722">
        <v>101312.74</v>
      </c>
      <c r="E722">
        <v>955</v>
      </c>
      <c r="F722">
        <v>957</v>
      </c>
      <c r="G722" t="s">
        <v>733</v>
      </c>
      <c r="H722">
        <v>-40.919999999998197</v>
      </c>
      <c r="I722">
        <v>2</v>
      </c>
      <c r="J722" t="s">
        <v>15</v>
      </c>
      <c r="K722">
        <v>213.55</v>
      </c>
      <c r="L722">
        <v>214.28</v>
      </c>
      <c r="M722">
        <v>214.52</v>
      </c>
      <c r="N722">
        <v>214.72</v>
      </c>
      <c r="O722" s="1">
        <f t="shared" si="44"/>
        <v>3.4184031842658946E-3</v>
      </c>
      <c r="P722" s="1">
        <f t="shared" si="45"/>
        <v>1.1200298674631792E-3</v>
      </c>
      <c r="Q722" t="str">
        <f t="shared" si="46"/>
        <v>SELL</v>
      </c>
      <c r="R722">
        <f t="shared" si="47"/>
        <v>-40.919999999998197</v>
      </c>
    </row>
    <row r="723" spans="1:18" x14ac:dyDescent="0.2">
      <c r="A723" t="s">
        <v>14</v>
      </c>
      <c r="B723">
        <v>20240117</v>
      </c>
      <c r="C723">
        <v>101312.74</v>
      </c>
      <c r="D723">
        <v>101257.87</v>
      </c>
      <c r="E723">
        <v>1001</v>
      </c>
      <c r="F723">
        <v>1004</v>
      </c>
      <c r="G723" t="s">
        <v>734</v>
      </c>
      <c r="H723">
        <v>-54.870000000009803</v>
      </c>
      <c r="I723">
        <v>3</v>
      </c>
      <c r="J723" t="s">
        <v>15</v>
      </c>
      <c r="K723">
        <v>213.95</v>
      </c>
      <c r="L723">
        <v>214.51</v>
      </c>
      <c r="M723">
        <v>214.62</v>
      </c>
      <c r="N723">
        <v>215.1</v>
      </c>
      <c r="O723" s="1">
        <f t="shared" si="44"/>
        <v>2.6174339799018842E-3</v>
      </c>
      <c r="P723" s="1">
        <f t="shared" si="45"/>
        <v>5.1279660621883494E-4</v>
      </c>
      <c r="Q723" t="str">
        <f t="shared" si="46"/>
        <v>SELL</v>
      </c>
      <c r="R723">
        <f t="shared" si="47"/>
        <v>-54.870000000009803</v>
      </c>
    </row>
    <row r="724" spans="1:18" x14ac:dyDescent="0.2">
      <c r="A724" t="s">
        <v>14</v>
      </c>
      <c r="B724">
        <v>20240117</v>
      </c>
      <c r="C724">
        <v>101257.87</v>
      </c>
      <c r="D724">
        <v>101374.12</v>
      </c>
      <c r="E724">
        <v>1008</v>
      </c>
      <c r="F724">
        <v>1024</v>
      </c>
      <c r="G724" t="s">
        <v>735</v>
      </c>
      <c r="H724">
        <v>116.25</v>
      </c>
      <c r="I724">
        <v>16</v>
      </c>
      <c r="J724" t="s">
        <v>15</v>
      </c>
      <c r="K724">
        <v>214.05</v>
      </c>
      <c r="L724">
        <v>214.54</v>
      </c>
      <c r="M724">
        <v>215.1</v>
      </c>
      <c r="N724">
        <v>213.29</v>
      </c>
      <c r="O724" s="1">
        <f t="shared" si="44"/>
        <v>2.289184769913577E-3</v>
      </c>
      <c r="P724" s="1">
        <f t="shared" si="45"/>
        <v>2.6102358534538794E-3</v>
      </c>
      <c r="Q724" t="str">
        <f t="shared" si="46"/>
        <v>SELL</v>
      </c>
      <c r="R724">
        <f t="shared" si="47"/>
        <v>116.25</v>
      </c>
    </row>
    <row r="725" spans="1:18" x14ac:dyDescent="0.2">
      <c r="A725" t="s">
        <v>14</v>
      </c>
      <c r="B725">
        <v>20240117</v>
      </c>
      <c r="C725">
        <v>101374.12</v>
      </c>
      <c r="D725">
        <v>101373.19</v>
      </c>
      <c r="E725">
        <v>1028</v>
      </c>
      <c r="F725">
        <v>1036</v>
      </c>
      <c r="G725" t="s">
        <v>736</v>
      </c>
      <c r="H725">
        <v>-0.92999999999301497</v>
      </c>
      <c r="I725">
        <v>8</v>
      </c>
      <c r="J725" t="s">
        <v>15</v>
      </c>
      <c r="K725">
        <v>212.73</v>
      </c>
      <c r="L725">
        <v>213.21</v>
      </c>
      <c r="M725">
        <v>213.48</v>
      </c>
      <c r="N725">
        <v>213.22</v>
      </c>
      <c r="O725" s="1">
        <f t="shared" si="44"/>
        <v>2.2563813284446343E-3</v>
      </c>
      <c r="P725" s="1">
        <f t="shared" si="45"/>
        <v>1.2663571127056183E-3</v>
      </c>
      <c r="Q725" t="str">
        <f t="shared" si="46"/>
        <v>SELL</v>
      </c>
      <c r="R725">
        <f t="shared" si="47"/>
        <v>-0.92999999999301497</v>
      </c>
    </row>
    <row r="726" spans="1:18" x14ac:dyDescent="0.2">
      <c r="A726" t="s">
        <v>14</v>
      </c>
      <c r="B726">
        <v>20240117</v>
      </c>
      <c r="C726">
        <v>101373.19</v>
      </c>
      <c r="D726">
        <v>101388.07</v>
      </c>
      <c r="E726">
        <v>1040</v>
      </c>
      <c r="F726">
        <v>1049</v>
      </c>
      <c r="G726" t="s">
        <v>737</v>
      </c>
      <c r="H726">
        <v>14.8800000000046</v>
      </c>
      <c r="I726">
        <v>9</v>
      </c>
      <c r="J726" t="s">
        <v>15</v>
      </c>
      <c r="K726">
        <v>212.64</v>
      </c>
      <c r="L726">
        <v>213.82</v>
      </c>
      <c r="M726">
        <v>213.95</v>
      </c>
      <c r="N726">
        <v>213.66</v>
      </c>
      <c r="O726" s="1">
        <f t="shared" si="44"/>
        <v>5.5492851768246254E-3</v>
      </c>
      <c r="P726" s="1">
        <f t="shared" si="45"/>
        <v>6.0798802731265589E-4</v>
      </c>
      <c r="Q726" t="str">
        <f t="shared" si="46"/>
        <v>SELL</v>
      </c>
      <c r="R726">
        <f t="shared" si="47"/>
        <v>14.8800000000046</v>
      </c>
    </row>
    <row r="727" spans="1:18" x14ac:dyDescent="0.2">
      <c r="A727" t="s">
        <v>14</v>
      </c>
      <c r="B727">
        <v>20240117</v>
      </c>
      <c r="C727">
        <v>101388.07</v>
      </c>
      <c r="D727">
        <v>101355.52</v>
      </c>
      <c r="E727">
        <v>1053</v>
      </c>
      <c r="F727">
        <v>1057</v>
      </c>
      <c r="G727" t="s">
        <v>738</v>
      </c>
      <c r="H727">
        <v>-32.550000000002903</v>
      </c>
      <c r="I727">
        <v>4</v>
      </c>
      <c r="J727" t="s">
        <v>15</v>
      </c>
      <c r="K727">
        <v>213.03</v>
      </c>
      <c r="L727">
        <v>213.56</v>
      </c>
      <c r="M727">
        <v>213.79</v>
      </c>
      <c r="N727">
        <v>213.91</v>
      </c>
      <c r="O727" s="1">
        <f t="shared" si="44"/>
        <v>2.4879125005867753E-3</v>
      </c>
      <c r="P727" s="1">
        <f t="shared" si="45"/>
        <v>1.0769807079977767E-3</v>
      </c>
      <c r="Q727" t="str">
        <f t="shared" si="46"/>
        <v>SELL</v>
      </c>
      <c r="R727">
        <f t="shared" si="47"/>
        <v>-32.550000000002903</v>
      </c>
    </row>
    <row r="728" spans="1:18" x14ac:dyDescent="0.2">
      <c r="A728" t="s">
        <v>14</v>
      </c>
      <c r="B728">
        <v>20240117</v>
      </c>
      <c r="C728">
        <v>101355.52</v>
      </c>
      <c r="D728">
        <v>101338.78</v>
      </c>
      <c r="E728">
        <v>1118</v>
      </c>
      <c r="F728">
        <v>1124</v>
      </c>
      <c r="G728" t="s">
        <v>739</v>
      </c>
      <c r="H728">
        <v>-16.7400000000052</v>
      </c>
      <c r="I728">
        <v>6</v>
      </c>
      <c r="J728" t="s">
        <v>15</v>
      </c>
      <c r="K728">
        <v>213.29</v>
      </c>
      <c r="L728">
        <v>213.24</v>
      </c>
      <c r="M728">
        <v>213.93</v>
      </c>
      <c r="N728">
        <v>213.42</v>
      </c>
      <c r="O728" s="1">
        <f t="shared" si="44"/>
        <v>-2.3442261709405443E-4</v>
      </c>
      <c r="P728" s="1">
        <f t="shared" si="45"/>
        <v>3.2357906584130625E-3</v>
      </c>
      <c r="Q728" t="str">
        <f t="shared" si="46"/>
        <v>IDLE</v>
      </c>
      <c r="R728">
        <f t="shared" si="47"/>
        <v>0</v>
      </c>
    </row>
    <row r="729" spans="1:18" x14ac:dyDescent="0.2">
      <c r="A729" t="s">
        <v>14</v>
      </c>
      <c r="B729">
        <v>20240117</v>
      </c>
      <c r="C729">
        <v>101338.78</v>
      </c>
      <c r="D729">
        <v>101352.73</v>
      </c>
      <c r="E729">
        <v>1128</v>
      </c>
      <c r="F729">
        <v>1137</v>
      </c>
      <c r="G729" t="s">
        <v>740</v>
      </c>
      <c r="H729">
        <v>13.949999999997001</v>
      </c>
      <c r="I729">
        <v>9</v>
      </c>
      <c r="J729" t="s">
        <v>15</v>
      </c>
      <c r="K729">
        <v>213.08</v>
      </c>
      <c r="L729">
        <v>213.43</v>
      </c>
      <c r="M729">
        <v>213.51</v>
      </c>
      <c r="N729">
        <v>213.28</v>
      </c>
      <c r="O729" s="1">
        <f t="shared" si="44"/>
        <v>1.6425755584756896E-3</v>
      </c>
      <c r="P729" s="1">
        <f t="shared" si="45"/>
        <v>3.7483015508588124E-4</v>
      </c>
      <c r="Q729" t="str">
        <f t="shared" si="46"/>
        <v>SELL</v>
      </c>
      <c r="R729">
        <f t="shared" si="47"/>
        <v>13.949999999997001</v>
      </c>
    </row>
    <row r="730" spans="1:18" x14ac:dyDescent="0.2">
      <c r="A730" t="s">
        <v>14</v>
      </c>
      <c r="B730">
        <v>20240117</v>
      </c>
      <c r="C730">
        <v>101352.73</v>
      </c>
      <c r="D730">
        <v>101350.87</v>
      </c>
      <c r="E730">
        <v>1206</v>
      </c>
      <c r="F730">
        <v>1208</v>
      </c>
      <c r="G730" t="s">
        <v>741</v>
      </c>
      <c r="H730">
        <v>-1.8600000000005801</v>
      </c>
      <c r="I730">
        <v>2</v>
      </c>
      <c r="J730" t="s">
        <v>15</v>
      </c>
      <c r="K730">
        <v>213.42</v>
      </c>
      <c r="L730">
        <v>213.61</v>
      </c>
      <c r="M730">
        <v>214.16</v>
      </c>
      <c r="N730">
        <v>213.63</v>
      </c>
      <c r="O730" s="1">
        <f t="shared" si="44"/>
        <v>8.9026333052211193E-4</v>
      </c>
      <c r="P730" s="1">
        <f t="shared" si="45"/>
        <v>2.574785824633663E-3</v>
      </c>
      <c r="Q730" t="str">
        <f t="shared" si="46"/>
        <v>SELL</v>
      </c>
      <c r="R730">
        <f t="shared" si="47"/>
        <v>-1.8600000000005801</v>
      </c>
    </row>
    <row r="731" spans="1:18" x14ac:dyDescent="0.2">
      <c r="A731" t="s">
        <v>14</v>
      </c>
      <c r="B731">
        <v>20240117</v>
      </c>
      <c r="C731">
        <v>101350.87</v>
      </c>
      <c r="D731">
        <v>101333.2</v>
      </c>
      <c r="E731">
        <v>1212</v>
      </c>
      <c r="F731">
        <v>1213</v>
      </c>
      <c r="G731" t="s">
        <v>742</v>
      </c>
      <c r="H731">
        <v>-17.6699999999982</v>
      </c>
      <c r="I731">
        <v>1</v>
      </c>
      <c r="J731" t="s">
        <v>15</v>
      </c>
      <c r="K731">
        <v>213.4</v>
      </c>
      <c r="L731">
        <v>213.61</v>
      </c>
      <c r="M731">
        <v>213.64</v>
      </c>
      <c r="N731">
        <v>213.8</v>
      </c>
      <c r="O731" s="1">
        <f t="shared" si="44"/>
        <v>9.8406747891277568E-4</v>
      </c>
      <c r="P731" s="1">
        <f t="shared" si="45"/>
        <v>1.4044286316172716E-4</v>
      </c>
      <c r="Q731" t="str">
        <f t="shared" si="46"/>
        <v>SELL</v>
      </c>
      <c r="R731">
        <f t="shared" si="47"/>
        <v>-17.6699999999982</v>
      </c>
    </row>
    <row r="732" spans="1:18" x14ac:dyDescent="0.2">
      <c r="A732" t="s">
        <v>14</v>
      </c>
      <c r="B732">
        <v>20240117</v>
      </c>
      <c r="C732">
        <v>101333.2</v>
      </c>
      <c r="D732">
        <v>101313.67</v>
      </c>
      <c r="E732">
        <v>1217</v>
      </c>
      <c r="F732">
        <v>1229</v>
      </c>
      <c r="G732" t="s">
        <v>743</v>
      </c>
      <c r="H732">
        <v>-19.5299999999988</v>
      </c>
      <c r="I732">
        <v>12</v>
      </c>
      <c r="J732" t="s">
        <v>15</v>
      </c>
      <c r="K732">
        <v>213.44</v>
      </c>
      <c r="L732">
        <v>213.88</v>
      </c>
      <c r="M732">
        <v>213.94</v>
      </c>
      <c r="N732">
        <v>214.09</v>
      </c>
      <c r="O732" s="1">
        <f t="shared" si="44"/>
        <v>2.0614692653673217E-3</v>
      </c>
      <c r="P732" s="1">
        <f t="shared" si="45"/>
        <v>2.8053113895643023E-4</v>
      </c>
      <c r="Q732" t="str">
        <f t="shared" si="46"/>
        <v>SELL</v>
      </c>
      <c r="R732">
        <f t="shared" si="47"/>
        <v>-19.5299999999988</v>
      </c>
    </row>
    <row r="733" spans="1:18" x14ac:dyDescent="0.2">
      <c r="A733" t="s">
        <v>14</v>
      </c>
      <c r="B733">
        <v>20240117</v>
      </c>
      <c r="C733">
        <v>101313.67</v>
      </c>
      <c r="D733">
        <v>101297.86</v>
      </c>
      <c r="E733">
        <v>1233</v>
      </c>
      <c r="F733">
        <v>1237</v>
      </c>
      <c r="G733" t="s">
        <v>744</v>
      </c>
      <c r="H733">
        <v>-15.809999999997601</v>
      </c>
      <c r="I733">
        <v>4</v>
      </c>
      <c r="J733" t="s">
        <v>15</v>
      </c>
      <c r="K733">
        <v>213.44</v>
      </c>
      <c r="L733">
        <v>213.72</v>
      </c>
      <c r="M733">
        <v>214.08</v>
      </c>
      <c r="N733">
        <v>213.89</v>
      </c>
      <c r="O733" s="1">
        <f t="shared" si="44"/>
        <v>1.311844077960922E-3</v>
      </c>
      <c r="P733" s="1">
        <f t="shared" si="45"/>
        <v>1.6844469399215356E-3</v>
      </c>
      <c r="Q733" t="str">
        <f t="shared" si="46"/>
        <v>SELL</v>
      </c>
      <c r="R733">
        <f t="shared" si="47"/>
        <v>-15.809999999997601</v>
      </c>
    </row>
    <row r="734" spans="1:18" x14ac:dyDescent="0.2">
      <c r="A734" t="s">
        <v>14</v>
      </c>
      <c r="B734">
        <v>20240117</v>
      </c>
      <c r="C734">
        <v>101297.86</v>
      </c>
      <c r="D734">
        <v>101279.26</v>
      </c>
      <c r="E734">
        <v>1241</v>
      </c>
      <c r="F734">
        <v>1251</v>
      </c>
      <c r="G734" t="s">
        <v>745</v>
      </c>
      <c r="H734">
        <v>-18.600000000005799</v>
      </c>
      <c r="I734">
        <v>10</v>
      </c>
      <c r="J734" t="s">
        <v>15</v>
      </c>
      <c r="K734">
        <v>213.47</v>
      </c>
      <c r="L734">
        <v>213.5</v>
      </c>
      <c r="M734">
        <v>213.88</v>
      </c>
      <c r="N734">
        <v>213.7</v>
      </c>
      <c r="O734" s="1">
        <f t="shared" si="44"/>
        <v>1.4053496978494451E-4</v>
      </c>
      <c r="P734" s="1">
        <f t="shared" si="45"/>
        <v>1.7798594847775462E-3</v>
      </c>
      <c r="Q734" t="str">
        <f t="shared" si="46"/>
        <v>SELL</v>
      </c>
      <c r="R734">
        <f t="shared" si="47"/>
        <v>-18.600000000005799</v>
      </c>
    </row>
    <row r="735" spans="1:18" x14ac:dyDescent="0.2">
      <c r="A735" t="s">
        <v>14</v>
      </c>
      <c r="B735">
        <v>20240117</v>
      </c>
      <c r="C735">
        <v>101279.26</v>
      </c>
      <c r="D735">
        <v>101264.38</v>
      </c>
      <c r="E735">
        <v>1255</v>
      </c>
      <c r="F735">
        <v>1258</v>
      </c>
      <c r="G735" t="s">
        <v>746</v>
      </c>
      <c r="H735">
        <v>-14.879999999990099</v>
      </c>
      <c r="I735">
        <v>3</v>
      </c>
      <c r="J735" t="s">
        <v>15</v>
      </c>
      <c r="K735">
        <v>213.24</v>
      </c>
      <c r="L735">
        <v>213.89</v>
      </c>
      <c r="M735">
        <v>213.9</v>
      </c>
      <c r="N735">
        <v>214.05</v>
      </c>
      <c r="O735" s="1">
        <f t="shared" si="44"/>
        <v>3.0482085912586498E-3</v>
      </c>
      <c r="P735" s="1">
        <f t="shared" si="45"/>
        <v>4.6753003880573019E-5</v>
      </c>
      <c r="Q735" t="str">
        <f t="shared" si="46"/>
        <v>SELL</v>
      </c>
      <c r="R735">
        <f t="shared" si="47"/>
        <v>-14.879999999990099</v>
      </c>
    </row>
    <row r="736" spans="1:18" x14ac:dyDescent="0.2">
      <c r="A736" t="s">
        <v>14</v>
      </c>
      <c r="B736">
        <v>20240117</v>
      </c>
      <c r="C736">
        <v>101264.38</v>
      </c>
      <c r="D736">
        <v>101313.67</v>
      </c>
      <c r="E736">
        <v>1313</v>
      </c>
      <c r="F736">
        <v>1339</v>
      </c>
      <c r="G736" t="s">
        <v>747</v>
      </c>
      <c r="H736">
        <v>49.289999999993597</v>
      </c>
      <c r="I736">
        <v>26</v>
      </c>
      <c r="J736" t="s">
        <v>15</v>
      </c>
      <c r="K736">
        <v>213.17</v>
      </c>
      <c r="L736">
        <v>213.2</v>
      </c>
      <c r="M736">
        <v>213.86</v>
      </c>
      <c r="N736">
        <v>212.67</v>
      </c>
      <c r="O736" s="1">
        <f t="shared" si="44"/>
        <v>1.4073274851056361E-4</v>
      </c>
      <c r="P736" s="1">
        <f t="shared" si="45"/>
        <v>3.0956848030019302E-3</v>
      </c>
      <c r="Q736" t="str">
        <f t="shared" si="46"/>
        <v>SELL</v>
      </c>
      <c r="R736">
        <f t="shared" si="47"/>
        <v>49.289999999993597</v>
      </c>
    </row>
    <row r="737" spans="1:18" x14ac:dyDescent="0.2">
      <c r="A737" t="s">
        <v>14</v>
      </c>
      <c r="B737">
        <v>20240117</v>
      </c>
      <c r="C737">
        <v>101313.67</v>
      </c>
      <c r="D737">
        <v>101310.88</v>
      </c>
      <c r="E737">
        <v>1343</v>
      </c>
      <c r="F737">
        <v>1419</v>
      </c>
      <c r="G737" t="s">
        <v>748</v>
      </c>
      <c r="H737">
        <v>-2.7899999999935901</v>
      </c>
      <c r="I737">
        <v>36</v>
      </c>
      <c r="J737" t="s">
        <v>15</v>
      </c>
      <c r="K737">
        <v>212.24</v>
      </c>
      <c r="L737">
        <v>212.84</v>
      </c>
      <c r="M737">
        <v>212.89</v>
      </c>
      <c r="N737">
        <v>212.87</v>
      </c>
      <c r="O737" s="1">
        <f t="shared" si="44"/>
        <v>2.8269883151148534E-3</v>
      </c>
      <c r="P737" s="1">
        <f t="shared" si="45"/>
        <v>2.349182484495671E-4</v>
      </c>
      <c r="Q737" t="str">
        <f t="shared" si="46"/>
        <v>SELL</v>
      </c>
      <c r="R737">
        <f t="shared" si="47"/>
        <v>-2.7899999999935901</v>
      </c>
    </row>
    <row r="738" spans="1:18" x14ac:dyDescent="0.2">
      <c r="A738" t="s">
        <v>14</v>
      </c>
      <c r="B738">
        <v>20240117</v>
      </c>
      <c r="C738">
        <v>101310.88</v>
      </c>
      <c r="D738">
        <v>101301.58</v>
      </c>
      <c r="E738">
        <v>1519</v>
      </c>
      <c r="F738">
        <v>1520</v>
      </c>
      <c r="G738" t="s">
        <v>749</v>
      </c>
      <c r="H738">
        <v>-9.3000000000029104</v>
      </c>
      <c r="I738">
        <v>1</v>
      </c>
      <c r="J738" t="s">
        <v>16</v>
      </c>
      <c r="K738">
        <v>214.61</v>
      </c>
      <c r="L738">
        <v>214.77</v>
      </c>
      <c r="M738">
        <v>214.98</v>
      </c>
      <c r="N738">
        <v>214.67</v>
      </c>
      <c r="O738" s="1">
        <f t="shared" si="44"/>
        <v>7.4553841852664782E-4</v>
      </c>
      <c r="P738" s="1">
        <f t="shared" si="45"/>
        <v>9.7779019416099899E-4</v>
      </c>
      <c r="Q738" t="str">
        <f t="shared" si="46"/>
        <v>IDLE</v>
      </c>
      <c r="R738">
        <f t="shared" si="47"/>
        <v>0</v>
      </c>
    </row>
    <row r="739" spans="1:18" x14ac:dyDescent="0.2">
      <c r="A739" t="s">
        <v>14</v>
      </c>
      <c r="B739">
        <v>20240117</v>
      </c>
      <c r="C739">
        <v>101301.58</v>
      </c>
      <c r="D739">
        <v>101312.62</v>
      </c>
      <c r="E739">
        <v>1550</v>
      </c>
      <c r="F739">
        <v>1557</v>
      </c>
      <c r="G739" t="s">
        <v>750</v>
      </c>
      <c r="H739">
        <v>11.039999999993499</v>
      </c>
      <c r="I739">
        <v>7</v>
      </c>
      <c r="J739" t="s">
        <v>16</v>
      </c>
      <c r="K739">
        <v>214.86</v>
      </c>
      <c r="L739">
        <v>215.52</v>
      </c>
      <c r="M739">
        <v>215.31</v>
      </c>
      <c r="N739">
        <v>215.64</v>
      </c>
      <c r="O739" s="1">
        <f t="shared" si="44"/>
        <v>3.0717676626641488E-3</v>
      </c>
      <c r="P739" s="1">
        <f t="shared" si="45"/>
        <v>-9.7438752783962634E-4</v>
      </c>
      <c r="Q739" t="str">
        <f t="shared" si="46"/>
        <v>IDLE</v>
      </c>
      <c r="R739">
        <f t="shared" si="47"/>
        <v>0</v>
      </c>
    </row>
    <row r="740" spans="1:18" x14ac:dyDescent="0.2">
      <c r="A740" t="s">
        <v>14</v>
      </c>
      <c r="B740">
        <v>20240118</v>
      </c>
      <c r="C740">
        <v>101312.62</v>
      </c>
      <c r="D740">
        <v>101216.94</v>
      </c>
      <c r="E740">
        <v>933</v>
      </c>
      <c r="F740">
        <v>934</v>
      </c>
      <c r="G740" t="s">
        <v>751</v>
      </c>
      <c r="H740">
        <v>-95.679999999993001</v>
      </c>
      <c r="I740">
        <v>1</v>
      </c>
      <c r="J740" t="s">
        <v>16</v>
      </c>
      <c r="K740">
        <v>215.13</v>
      </c>
      <c r="L740">
        <v>216.79</v>
      </c>
      <c r="M740">
        <v>216.65</v>
      </c>
      <c r="N740">
        <v>215.75</v>
      </c>
      <c r="O740" s="1">
        <f t="shared" si="44"/>
        <v>7.7162645842048239E-3</v>
      </c>
      <c r="P740" s="1">
        <f t="shared" si="45"/>
        <v>-6.4578624475297719E-4</v>
      </c>
      <c r="Q740" t="str">
        <f t="shared" si="46"/>
        <v>IDLE</v>
      </c>
      <c r="R740">
        <f t="shared" si="47"/>
        <v>0</v>
      </c>
    </row>
    <row r="741" spans="1:18" x14ac:dyDescent="0.2">
      <c r="A741" t="s">
        <v>14</v>
      </c>
      <c r="B741">
        <v>20240118</v>
      </c>
      <c r="C741">
        <v>101216.94</v>
      </c>
      <c r="D741">
        <v>101174.62</v>
      </c>
      <c r="E741">
        <v>949</v>
      </c>
      <c r="F741">
        <v>950</v>
      </c>
      <c r="G741" t="s">
        <v>752</v>
      </c>
      <c r="H741">
        <v>-42.3200000000069</v>
      </c>
      <c r="I741">
        <v>1</v>
      </c>
      <c r="J741" t="s">
        <v>15</v>
      </c>
      <c r="K741">
        <v>214</v>
      </c>
      <c r="L741">
        <v>215.23</v>
      </c>
      <c r="M741">
        <v>215.17</v>
      </c>
      <c r="N741">
        <v>215.69</v>
      </c>
      <c r="O741" s="1">
        <f t="shared" si="44"/>
        <v>5.7476635514017715E-3</v>
      </c>
      <c r="P741" s="1">
        <f t="shared" si="45"/>
        <v>-2.7877154671751558E-4</v>
      </c>
      <c r="Q741" t="str">
        <f t="shared" si="46"/>
        <v>SELL</v>
      </c>
      <c r="R741">
        <f t="shared" si="47"/>
        <v>-42.3200000000069</v>
      </c>
    </row>
    <row r="742" spans="1:18" x14ac:dyDescent="0.2">
      <c r="A742" t="s">
        <v>14</v>
      </c>
      <c r="B742">
        <v>20240118</v>
      </c>
      <c r="C742">
        <v>101174.62</v>
      </c>
      <c r="D742">
        <v>101150.44</v>
      </c>
      <c r="E742">
        <v>1021</v>
      </c>
      <c r="F742">
        <v>1022</v>
      </c>
      <c r="G742" t="s">
        <v>753</v>
      </c>
      <c r="H742">
        <v>-24.179999999993001</v>
      </c>
      <c r="I742">
        <v>1</v>
      </c>
      <c r="J742" t="s">
        <v>15</v>
      </c>
      <c r="K742">
        <v>213.95</v>
      </c>
      <c r="L742">
        <v>214.25</v>
      </c>
      <c r="M742">
        <v>215.1</v>
      </c>
      <c r="N742">
        <v>214.51</v>
      </c>
      <c r="O742" s="1">
        <f t="shared" si="44"/>
        <v>1.4021967749475728E-3</v>
      </c>
      <c r="P742" s="1">
        <f t="shared" si="45"/>
        <v>3.9673278879812646E-3</v>
      </c>
      <c r="Q742" t="str">
        <f t="shared" si="46"/>
        <v>SELL</v>
      </c>
      <c r="R742">
        <f t="shared" si="47"/>
        <v>-24.179999999993001</v>
      </c>
    </row>
    <row r="743" spans="1:18" x14ac:dyDescent="0.2">
      <c r="A743" t="s">
        <v>14</v>
      </c>
      <c r="B743">
        <v>20240118</v>
      </c>
      <c r="C743">
        <v>101150.44</v>
      </c>
      <c r="D743">
        <v>101254.6</v>
      </c>
      <c r="E743">
        <v>1026</v>
      </c>
      <c r="F743">
        <v>1040</v>
      </c>
      <c r="G743" t="s">
        <v>754</v>
      </c>
      <c r="H743">
        <v>104.160000000003</v>
      </c>
      <c r="I743">
        <v>14</v>
      </c>
      <c r="J743" t="s">
        <v>15</v>
      </c>
      <c r="K743">
        <v>213.99</v>
      </c>
      <c r="L743">
        <v>214.86</v>
      </c>
      <c r="M743">
        <v>214.87</v>
      </c>
      <c r="N743">
        <v>213.74</v>
      </c>
      <c r="O743" s="1">
        <f t="shared" si="44"/>
        <v>4.0656105425487254E-3</v>
      </c>
      <c r="P743" s="1">
        <f t="shared" si="45"/>
        <v>4.6541934282773312E-5</v>
      </c>
      <c r="Q743" t="str">
        <f t="shared" si="46"/>
        <v>SELL</v>
      </c>
      <c r="R743">
        <f t="shared" si="47"/>
        <v>104.160000000003</v>
      </c>
    </row>
    <row r="744" spans="1:18" x14ac:dyDescent="0.2">
      <c r="A744" t="s">
        <v>14</v>
      </c>
      <c r="B744">
        <v>20240118</v>
      </c>
      <c r="C744">
        <v>101254.6</v>
      </c>
      <c r="D744">
        <v>101468.5</v>
      </c>
      <c r="E744">
        <v>1044</v>
      </c>
      <c r="F744">
        <v>1107</v>
      </c>
      <c r="G744" t="s">
        <v>755</v>
      </c>
      <c r="H744">
        <v>213.89999999999401</v>
      </c>
      <c r="I744">
        <v>23</v>
      </c>
      <c r="J744" t="s">
        <v>15</v>
      </c>
      <c r="K744">
        <v>213.17</v>
      </c>
      <c r="L744">
        <v>213.43</v>
      </c>
      <c r="M744">
        <v>213.81</v>
      </c>
      <c r="N744">
        <v>211.13</v>
      </c>
      <c r="O744" s="1">
        <f t="shared" si="44"/>
        <v>1.2196838204250326E-3</v>
      </c>
      <c r="P744" s="1">
        <f t="shared" si="45"/>
        <v>1.78044323665838E-3</v>
      </c>
      <c r="Q744" t="str">
        <f t="shared" si="46"/>
        <v>SELL</v>
      </c>
      <c r="R744">
        <f t="shared" si="47"/>
        <v>213.89999999999401</v>
      </c>
    </row>
    <row r="745" spans="1:18" x14ac:dyDescent="0.2">
      <c r="A745" t="s">
        <v>14</v>
      </c>
      <c r="B745">
        <v>20240118</v>
      </c>
      <c r="C745">
        <v>101468.5</v>
      </c>
      <c r="D745">
        <v>101433.72</v>
      </c>
      <c r="E745">
        <v>1111</v>
      </c>
      <c r="F745">
        <v>1115</v>
      </c>
      <c r="G745" t="s">
        <v>756</v>
      </c>
      <c r="H745">
        <v>-34.7799999999988</v>
      </c>
      <c r="I745">
        <v>4</v>
      </c>
      <c r="J745" t="s">
        <v>15</v>
      </c>
      <c r="K745">
        <v>210.58</v>
      </c>
      <c r="L745">
        <v>211.04</v>
      </c>
      <c r="M745">
        <v>211.34</v>
      </c>
      <c r="N745">
        <v>211.41</v>
      </c>
      <c r="O745" s="1">
        <f t="shared" si="44"/>
        <v>2.1844429670432319E-3</v>
      </c>
      <c r="P745" s="1">
        <f t="shared" si="45"/>
        <v>1.4215314632297638E-3</v>
      </c>
      <c r="Q745" t="str">
        <f t="shared" si="46"/>
        <v>SELL</v>
      </c>
      <c r="R745">
        <f t="shared" si="47"/>
        <v>-34.7799999999988</v>
      </c>
    </row>
    <row r="746" spans="1:18" x14ac:dyDescent="0.2">
      <c r="A746" t="s">
        <v>14</v>
      </c>
      <c r="B746">
        <v>20240118</v>
      </c>
      <c r="C746">
        <v>101433.72</v>
      </c>
      <c r="D746">
        <v>101393.3</v>
      </c>
      <c r="E746">
        <v>1119</v>
      </c>
      <c r="F746">
        <v>1125</v>
      </c>
      <c r="G746" t="s">
        <v>757</v>
      </c>
      <c r="H746">
        <v>-40.419999999998197</v>
      </c>
      <c r="I746">
        <v>6</v>
      </c>
      <c r="J746" t="s">
        <v>15</v>
      </c>
      <c r="K746">
        <v>210.96</v>
      </c>
      <c r="L746">
        <v>211.73</v>
      </c>
      <c r="M746">
        <v>211.87</v>
      </c>
      <c r="N746">
        <v>212.16</v>
      </c>
      <c r="O746" s="1">
        <f t="shared" si="44"/>
        <v>3.6499810390595577E-3</v>
      </c>
      <c r="P746" s="1">
        <f t="shared" si="45"/>
        <v>6.6121947763675415E-4</v>
      </c>
      <c r="Q746" t="str">
        <f t="shared" si="46"/>
        <v>SELL</v>
      </c>
      <c r="R746">
        <f t="shared" si="47"/>
        <v>-40.419999999998197</v>
      </c>
    </row>
    <row r="747" spans="1:18" x14ac:dyDescent="0.2">
      <c r="A747" t="s">
        <v>14</v>
      </c>
      <c r="B747">
        <v>20240118</v>
      </c>
      <c r="C747">
        <v>101393.3</v>
      </c>
      <c r="D747">
        <v>101366.04</v>
      </c>
      <c r="E747">
        <v>1151</v>
      </c>
      <c r="F747">
        <v>1152</v>
      </c>
      <c r="G747" t="s">
        <v>758</v>
      </c>
      <c r="H747">
        <v>-27.260000000009299</v>
      </c>
      <c r="I747">
        <v>1</v>
      </c>
      <c r="J747" t="s">
        <v>15</v>
      </c>
      <c r="K747">
        <v>211.46</v>
      </c>
      <c r="L747">
        <v>211.67</v>
      </c>
      <c r="M747">
        <v>212.29</v>
      </c>
      <c r="N747">
        <v>211.96</v>
      </c>
      <c r="O747" s="1">
        <f t="shared" si="44"/>
        <v>9.9309562092120274E-4</v>
      </c>
      <c r="P747" s="1">
        <f t="shared" si="45"/>
        <v>2.9290877309018359E-3</v>
      </c>
      <c r="Q747" t="str">
        <f t="shared" si="46"/>
        <v>SELL</v>
      </c>
      <c r="R747">
        <f t="shared" si="47"/>
        <v>-27.260000000009299</v>
      </c>
    </row>
    <row r="748" spans="1:18" x14ac:dyDescent="0.2">
      <c r="A748" t="s">
        <v>14</v>
      </c>
      <c r="B748">
        <v>20240118</v>
      </c>
      <c r="C748">
        <v>101366.04</v>
      </c>
      <c r="D748">
        <v>101544.64</v>
      </c>
      <c r="E748">
        <v>1156</v>
      </c>
      <c r="F748">
        <v>1215</v>
      </c>
      <c r="G748" t="s">
        <v>759</v>
      </c>
      <c r="H748">
        <v>178.600000000005</v>
      </c>
      <c r="I748">
        <v>19</v>
      </c>
      <c r="J748" t="s">
        <v>15</v>
      </c>
      <c r="K748">
        <v>211.46</v>
      </c>
      <c r="L748">
        <v>212.18</v>
      </c>
      <c r="M748">
        <v>212.34</v>
      </c>
      <c r="N748">
        <v>210.28</v>
      </c>
      <c r="O748" s="1">
        <f t="shared" si="44"/>
        <v>3.4048992717299331E-3</v>
      </c>
      <c r="P748" s="1">
        <f t="shared" si="45"/>
        <v>7.5407672730709585E-4</v>
      </c>
      <c r="Q748" t="str">
        <f t="shared" si="46"/>
        <v>SELL</v>
      </c>
      <c r="R748">
        <f t="shared" si="47"/>
        <v>178.600000000005</v>
      </c>
    </row>
    <row r="749" spans="1:18" x14ac:dyDescent="0.2">
      <c r="A749" t="s">
        <v>14</v>
      </c>
      <c r="B749">
        <v>20240118</v>
      </c>
      <c r="C749">
        <v>101544.64</v>
      </c>
      <c r="D749">
        <v>101516.14</v>
      </c>
      <c r="E749">
        <v>1219</v>
      </c>
      <c r="F749">
        <v>1225</v>
      </c>
      <c r="G749" t="s">
        <v>760</v>
      </c>
      <c r="H749">
        <v>-28.5</v>
      </c>
      <c r="I749">
        <v>6</v>
      </c>
      <c r="J749" t="s">
        <v>15</v>
      </c>
      <c r="K749">
        <v>209.84</v>
      </c>
      <c r="L749">
        <v>210.06</v>
      </c>
      <c r="M749">
        <v>210.44</v>
      </c>
      <c r="N749">
        <v>210.36</v>
      </c>
      <c r="O749" s="1">
        <f t="shared" si="44"/>
        <v>1.0484178421654722E-3</v>
      </c>
      <c r="P749" s="1">
        <f t="shared" si="45"/>
        <v>1.8090069503950978E-3</v>
      </c>
      <c r="Q749" t="str">
        <f t="shared" si="46"/>
        <v>SELL</v>
      </c>
      <c r="R749">
        <f t="shared" si="47"/>
        <v>-28.5</v>
      </c>
    </row>
    <row r="750" spans="1:18" x14ac:dyDescent="0.2">
      <c r="A750" t="s">
        <v>14</v>
      </c>
      <c r="B750">
        <v>20240118</v>
      </c>
      <c r="C750">
        <v>101516.14</v>
      </c>
      <c r="D750">
        <v>101522.72</v>
      </c>
      <c r="E750">
        <v>1229</v>
      </c>
      <c r="F750">
        <v>1238</v>
      </c>
      <c r="G750" t="s">
        <v>761</v>
      </c>
      <c r="H750">
        <v>6.58000000000174</v>
      </c>
      <c r="I750">
        <v>9</v>
      </c>
      <c r="J750" t="s">
        <v>15</v>
      </c>
      <c r="K750">
        <v>209.95</v>
      </c>
      <c r="L750">
        <v>210.64</v>
      </c>
      <c r="M750">
        <v>210.71</v>
      </c>
      <c r="N750">
        <v>210.57</v>
      </c>
      <c r="O750" s="1">
        <f t="shared" si="44"/>
        <v>3.2864967849488558E-3</v>
      </c>
      <c r="P750" s="1">
        <f t="shared" si="45"/>
        <v>3.3232054690479629E-4</v>
      </c>
      <c r="Q750" t="str">
        <f t="shared" si="46"/>
        <v>SELL</v>
      </c>
      <c r="R750">
        <f t="shared" si="47"/>
        <v>6.58000000000174</v>
      </c>
    </row>
    <row r="751" spans="1:18" x14ac:dyDescent="0.2">
      <c r="A751" t="s">
        <v>14</v>
      </c>
      <c r="B751">
        <v>20240118</v>
      </c>
      <c r="C751">
        <v>101522.72</v>
      </c>
      <c r="D751">
        <v>101520.82</v>
      </c>
      <c r="E751">
        <v>1242</v>
      </c>
      <c r="F751">
        <v>1245</v>
      </c>
      <c r="G751" t="s">
        <v>762</v>
      </c>
      <c r="H751">
        <v>-1.8999999999941699</v>
      </c>
      <c r="I751">
        <v>3</v>
      </c>
      <c r="J751" t="s">
        <v>15</v>
      </c>
      <c r="K751">
        <v>209.98</v>
      </c>
      <c r="L751">
        <v>210.38</v>
      </c>
      <c r="M751">
        <v>210.52</v>
      </c>
      <c r="N751">
        <v>210.4</v>
      </c>
      <c r="O751" s="1">
        <f t="shared" si="44"/>
        <v>1.904943327936115E-3</v>
      </c>
      <c r="P751" s="1">
        <f t="shared" si="45"/>
        <v>6.6546249643506528E-4</v>
      </c>
      <c r="Q751" t="str">
        <f t="shared" si="46"/>
        <v>SELL</v>
      </c>
      <c r="R751">
        <f t="shared" si="47"/>
        <v>-1.8999999999941699</v>
      </c>
    </row>
    <row r="752" spans="1:18" x14ac:dyDescent="0.2">
      <c r="A752" t="s">
        <v>14</v>
      </c>
      <c r="B752">
        <v>20240118</v>
      </c>
      <c r="C752">
        <v>101520.82</v>
      </c>
      <c r="D752">
        <v>101496.12</v>
      </c>
      <c r="E752">
        <v>1254</v>
      </c>
      <c r="F752">
        <v>1259</v>
      </c>
      <c r="G752" t="s">
        <v>763</v>
      </c>
      <c r="H752">
        <v>-24.700000000011599</v>
      </c>
      <c r="I752">
        <v>5</v>
      </c>
      <c r="J752" t="s">
        <v>15</v>
      </c>
      <c r="K752">
        <v>209.84</v>
      </c>
      <c r="L752">
        <v>209.87</v>
      </c>
      <c r="M752">
        <v>211.03</v>
      </c>
      <c r="N752">
        <v>210.13</v>
      </c>
      <c r="O752" s="1">
        <f t="shared" si="44"/>
        <v>1.429660693861301E-4</v>
      </c>
      <c r="P752" s="1">
        <f t="shared" si="45"/>
        <v>5.5272311430885068E-3</v>
      </c>
      <c r="Q752" t="str">
        <f t="shared" si="46"/>
        <v>SELL</v>
      </c>
      <c r="R752">
        <f t="shared" si="47"/>
        <v>-24.700000000011599</v>
      </c>
    </row>
    <row r="753" spans="1:18" x14ac:dyDescent="0.2">
      <c r="A753" t="s">
        <v>14</v>
      </c>
      <c r="B753">
        <v>20240118</v>
      </c>
      <c r="C753">
        <v>101496.12</v>
      </c>
      <c r="D753">
        <v>101494.22</v>
      </c>
      <c r="E753">
        <v>1303</v>
      </c>
      <c r="F753">
        <v>1322</v>
      </c>
      <c r="G753" t="s">
        <v>764</v>
      </c>
      <c r="H753">
        <v>-1.8999999999941699</v>
      </c>
      <c r="I753">
        <v>19</v>
      </c>
      <c r="J753" t="s">
        <v>15</v>
      </c>
      <c r="K753">
        <v>209.42</v>
      </c>
      <c r="L753">
        <v>209.36</v>
      </c>
      <c r="M753">
        <v>210.07</v>
      </c>
      <c r="N753">
        <v>209.38</v>
      </c>
      <c r="O753" s="1">
        <f t="shared" si="44"/>
        <v>-2.8650558685883176E-4</v>
      </c>
      <c r="P753" s="1">
        <f t="shared" si="45"/>
        <v>3.3912877340465108E-3</v>
      </c>
      <c r="Q753" t="str">
        <f t="shared" si="46"/>
        <v>IDLE</v>
      </c>
      <c r="R753">
        <f t="shared" si="47"/>
        <v>0</v>
      </c>
    </row>
    <row r="754" spans="1:18" x14ac:dyDescent="0.2">
      <c r="A754" t="s">
        <v>14</v>
      </c>
      <c r="B754">
        <v>20240118</v>
      </c>
      <c r="C754">
        <v>101494.22</v>
      </c>
      <c r="D754">
        <v>101479.02</v>
      </c>
      <c r="E754">
        <v>1326</v>
      </c>
      <c r="F754">
        <v>1327</v>
      </c>
      <c r="G754" t="s">
        <v>765</v>
      </c>
      <c r="H754">
        <v>-15.199999999997001</v>
      </c>
      <c r="I754">
        <v>1</v>
      </c>
      <c r="J754" t="s">
        <v>15</v>
      </c>
      <c r="K754">
        <v>208.93</v>
      </c>
      <c r="L754">
        <v>209.2</v>
      </c>
      <c r="M754">
        <v>209.45</v>
      </c>
      <c r="N754">
        <v>209.36</v>
      </c>
      <c r="O754" s="1">
        <f t="shared" si="44"/>
        <v>1.2922988560761794E-3</v>
      </c>
      <c r="P754" s="1">
        <f t="shared" si="45"/>
        <v>1.1950286806883259E-3</v>
      </c>
      <c r="Q754" t="str">
        <f t="shared" si="46"/>
        <v>SELL</v>
      </c>
      <c r="R754">
        <f t="shared" si="47"/>
        <v>-15.199999999997001</v>
      </c>
    </row>
    <row r="755" spans="1:18" x14ac:dyDescent="0.2">
      <c r="A755" t="s">
        <v>14</v>
      </c>
      <c r="B755">
        <v>20240118</v>
      </c>
      <c r="C755">
        <v>101479.02</v>
      </c>
      <c r="D755">
        <v>101452.42</v>
      </c>
      <c r="E755">
        <v>1331</v>
      </c>
      <c r="F755">
        <v>1332</v>
      </c>
      <c r="G755" t="s">
        <v>766</v>
      </c>
      <c r="H755">
        <v>-26.600000000005799</v>
      </c>
      <c r="I755">
        <v>1</v>
      </c>
      <c r="J755" t="s">
        <v>15</v>
      </c>
      <c r="K755">
        <v>209.16</v>
      </c>
      <c r="L755">
        <v>209.48</v>
      </c>
      <c r="M755">
        <v>209.51</v>
      </c>
      <c r="N755">
        <v>209.76</v>
      </c>
      <c r="O755" s="1">
        <f t="shared" si="44"/>
        <v>1.529929240772665E-3</v>
      </c>
      <c r="P755" s="1">
        <f t="shared" si="45"/>
        <v>1.4321176245934986E-4</v>
      </c>
      <c r="Q755" t="str">
        <f t="shared" si="46"/>
        <v>SELL</v>
      </c>
      <c r="R755">
        <f t="shared" si="47"/>
        <v>-26.600000000005799</v>
      </c>
    </row>
    <row r="756" spans="1:18" x14ac:dyDescent="0.2">
      <c r="A756" t="s">
        <v>14</v>
      </c>
      <c r="B756">
        <v>20240118</v>
      </c>
      <c r="C756">
        <v>101452.42</v>
      </c>
      <c r="D756">
        <v>101427.04</v>
      </c>
      <c r="E756">
        <v>1434</v>
      </c>
      <c r="F756">
        <v>1438</v>
      </c>
      <c r="G756" t="s">
        <v>767</v>
      </c>
      <c r="H756">
        <v>-25.3800000000046</v>
      </c>
      <c r="I756">
        <v>4</v>
      </c>
      <c r="J756" t="s">
        <v>16</v>
      </c>
      <c r="K756">
        <v>211.21</v>
      </c>
      <c r="L756">
        <v>211.39</v>
      </c>
      <c r="M756">
        <v>211.64</v>
      </c>
      <c r="N756">
        <v>211.12</v>
      </c>
      <c r="O756" s="1">
        <f t="shared" si="44"/>
        <v>8.5223237536080632E-4</v>
      </c>
      <c r="P756" s="1">
        <f t="shared" si="45"/>
        <v>1.1826481858177029E-3</v>
      </c>
      <c r="Q756" t="str">
        <f t="shared" si="46"/>
        <v>IDLE</v>
      </c>
      <c r="R756">
        <f t="shared" si="47"/>
        <v>0</v>
      </c>
    </row>
    <row r="757" spans="1:18" x14ac:dyDescent="0.2">
      <c r="A757" t="s">
        <v>14</v>
      </c>
      <c r="B757">
        <v>20240118</v>
      </c>
      <c r="C757">
        <v>101427.04</v>
      </c>
      <c r="D757">
        <v>101414.82</v>
      </c>
      <c r="E757">
        <v>1454</v>
      </c>
      <c r="F757">
        <v>1459</v>
      </c>
      <c r="G757" t="s">
        <v>768</v>
      </c>
      <c r="H757">
        <v>-12.2199999999866</v>
      </c>
      <c r="I757">
        <v>5</v>
      </c>
      <c r="J757" t="s">
        <v>16</v>
      </c>
      <c r="K757">
        <v>210.25</v>
      </c>
      <c r="L757">
        <v>211.15</v>
      </c>
      <c r="M757">
        <v>211.14</v>
      </c>
      <c r="N757">
        <v>211.02</v>
      </c>
      <c r="O757" s="1">
        <f t="shared" si="44"/>
        <v>4.2806183115338126E-3</v>
      </c>
      <c r="P757" s="1">
        <f t="shared" si="45"/>
        <v>-4.7359696898063852E-5</v>
      </c>
      <c r="Q757" t="str">
        <f t="shared" si="46"/>
        <v>IDLE</v>
      </c>
      <c r="R757">
        <f t="shared" si="47"/>
        <v>0</v>
      </c>
    </row>
    <row r="758" spans="1:18" x14ac:dyDescent="0.2">
      <c r="A758" t="s">
        <v>14</v>
      </c>
      <c r="B758">
        <v>20240118</v>
      </c>
      <c r="C758">
        <v>101414.82</v>
      </c>
      <c r="D758">
        <v>101456.18</v>
      </c>
      <c r="E758">
        <v>1503</v>
      </c>
      <c r="F758">
        <v>1535</v>
      </c>
      <c r="G758" t="s">
        <v>769</v>
      </c>
      <c r="H758">
        <v>41.359999999986002</v>
      </c>
      <c r="I758">
        <v>32</v>
      </c>
      <c r="J758" t="s">
        <v>16</v>
      </c>
      <c r="K758">
        <v>210.78</v>
      </c>
      <c r="L758">
        <v>210.84</v>
      </c>
      <c r="M758">
        <v>211.34</v>
      </c>
      <c r="N758">
        <v>211.28</v>
      </c>
      <c r="O758" s="1">
        <f t="shared" si="44"/>
        <v>2.8465698832902397E-4</v>
      </c>
      <c r="P758" s="1">
        <f t="shared" si="45"/>
        <v>2.3714665148928393E-3</v>
      </c>
      <c r="Q758" t="str">
        <f t="shared" si="46"/>
        <v>IDLE</v>
      </c>
      <c r="R758">
        <f t="shared" si="47"/>
        <v>0</v>
      </c>
    </row>
    <row r="759" spans="1:18" x14ac:dyDescent="0.2">
      <c r="A759" t="s">
        <v>14</v>
      </c>
      <c r="B759">
        <v>20240118</v>
      </c>
      <c r="C759">
        <v>101456.18</v>
      </c>
      <c r="D759">
        <v>101444.9</v>
      </c>
      <c r="E759">
        <v>1551</v>
      </c>
      <c r="F759">
        <v>1557</v>
      </c>
      <c r="G759" t="s">
        <v>770</v>
      </c>
      <c r="H759">
        <v>-11.2799999999988</v>
      </c>
      <c r="I759">
        <v>6</v>
      </c>
      <c r="J759" t="s">
        <v>16</v>
      </c>
      <c r="K759">
        <v>211.03</v>
      </c>
      <c r="L759">
        <v>211.92</v>
      </c>
      <c r="M759">
        <v>211.67</v>
      </c>
      <c r="N759">
        <v>211.8</v>
      </c>
      <c r="O759" s="1">
        <f t="shared" si="44"/>
        <v>4.2174098469411891E-3</v>
      </c>
      <c r="P759" s="1">
        <f t="shared" si="45"/>
        <v>-1.1796904492261673E-3</v>
      </c>
      <c r="Q759" t="str">
        <f t="shared" si="46"/>
        <v>IDLE</v>
      </c>
      <c r="R759">
        <f t="shared" si="47"/>
        <v>0</v>
      </c>
    </row>
    <row r="760" spans="1:18" x14ac:dyDescent="0.2">
      <c r="A760" t="s">
        <v>14</v>
      </c>
      <c r="B760">
        <v>20240119</v>
      </c>
      <c r="C760">
        <v>101444.9</v>
      </c>
      <c r="D760">
        <v>101432.68</v>
      </c>
      <c r="E760">
        <v>947</v>
      </c>
      <c r="F760">
        <v>948</v>
      </c>
      <c r="G760" t="s">
        <v>771</v>
      </c>
      <c r="H760">
        <v>-12.2200000000011</v>
      </c>
      <c r="I760">
        <v>1</v>
      </c>
      <c r="J760" t="s">
        <v>16</v>
      </c>
      <c r="K760">
        <v>211.77</v>
      </c>
      <c r="L760">
        <v>212.64</v>
      </c>
      <c r="M760">
        <v>213.25</v>
      </c>
      <c r="N760">
        <v>212.51</v>
      </c>
      <c r="O760" s="1">
        <f t="shared" si="44"/>
        <v>4.1082306275674885E-3</v>
      </c>
      <c r="P760" s="1">
        <f t="shared" si="45"/>
        <v>2.8686982693755247E-3</v>
      </c>
      <c r="Q760" t="str">
        <f t="shared" si="46"/>
        <v>IDLE</v>
      </c>
      <c r="R760">
        <f t="shared" si="47"/>
        <v>0</v>
      </c>
    </row>
    <row r="761" spans="1:18" x14ac:dyDescent="0.2">
      <c r="A761" t="s">
        <v>14</v>
      </c>
      <c r="B761">
        <v>20240119</v>
      </c>
      <c r="C761">
        <v>101432.68</v>
      </c>
      <c r="D761">
        <v>101395.08</v>
      </c>
      <c r="E761">
        <v>952</v>
      </c>
      <c r="F761">
        <v>955</v>
      </c>
      <c r="G761" t="s">
        <v>772</v>
      </c>
      <c r="H761">
        <v>-37.599999999991198</v>
      </c>
      <c r="I761">
        <v>3</v>
      </c>
      <c r="J761" t="s">
        <v>16</v>
      </c>
      <c r="K761">
        <v>211.56</v>
      </c>
      <c r="L761">
        <v>211.64</v>
      </c>
      <c r="M761">
        <v>213.18</v>
      </c>
      <c r="N761">
        <v>211.24</v>
      </c>
      <c r="O761" s="1">
        <f t="shared" si="44"/>
        <v>3.7814331631680353E-4</v>
      </c>
      <c r="P761" s="1">
        <f t="shared" si="45"/>
        <v>7.2765072765073047E-3</v>
      </c>
      <c r="Q761" t="str">
        <f t="shared" si="46"/>
        <v>BUY</v>
      </c>
      <c r="R761">
        <f t="shared" si="47"/>
        <v>-37.599999999991198</v>
      </c>
    </row>
    <row r="762" spans="1:18" x14ac:dyDescent="0.2">
      <c r="A762" t="s">
        <v>14</v>
      </c>
      <c r="B762">
        <v>20240119</v>
      </c>
      <c r="C762">
        <v>101395.08</v>
      </c>
      <c r="D762">
        <v>101333.98</v>
      </c>
      <c r="E762">
        <v>959</v>
      </c>
      <c r="F762">
        <v>1000</v>
      </c>
      <c r="G762" t="s">
        <v>773</v>
      </c>
      <c r="H762">
        <v>-61.100000000005799</v>
      </c>
      <c r="I762">
        <v>1</v>
      </c>
      <c r="J762" t="s">
        <v>16</v>
      </c>
      <c r="K762">
        <v>211.08</v>
      </c>
      <c r="L762">
        <v>211.85</v>
      </c>
      <c r="M762">
        <v>212.15</v>
      </c>
      <c r="N762">
        <v>211.2</v>
      </c>
      <c r="O762" s="1">
        <f t="shared" si="44"/>
        <v>3.6479060072009961E-3</v>
      </c>
      <c r="P762" s="1">
        <f t="shared" si="45"/>
        <v>1.4160962945479749E-3</v>
      </c>
      <c r="Q762" t="str">
        <f t="shared" si="46"/>
        <v>IDLE</v>
      </c>
      <c r="R762">
        <f t="shared" si="47"/>
        <v>0</v>
      </c>
    </row>
    <row r="763" spans="1:18" x14ac:dyDescent="0.2">
      <c r="A763" t="s">
        <v>14</v>
      </c>
      <c r="B763">
        <v>20240119</v>
      </c>
      <c r="C763">
        <v>101333.98</v>
      </c>
      <c r="D763">
        <v>101318.78</v>
      </c>
      <c r="E763">
        <v>1141</v>
      </c>
      <c r="F763">
        <v>1153</v>
      </c>
      <c r="G763" t="s">
        <v>774</v>
      </c>
      <c r="H763">
        <v>-15.199999999997001</v>
      </c>
      <c r="I763">
        <v>12</v>
      </c>
      <c r="J763" t="s">
        <v>15</v>
      </c>
      <c r="K763">
        <v>208.48</v>
      </c>
      <c r="L763">
        <v>208.36</v>
      </c>
      <c r="M763">
        <v>209.28</v>
      </c>
      <c r="N763">
        <v>208.52</v>
      </c>
      <c r="O763" s="1">
        <f t="shared" si="44"/>
        <v>-5.7559478127389152E-4</v>
      </c>
      <c r="P763" s="1">
        <f t="shared" si="45"/>
        <v>4.415434824342368E-3</v>
      </c>
      <c r="Q763" t="str">
        <f t="shared" si="46"/>
        <v>IDLE</v>
      </c>
      <c r="R763">
        <f t="shared" si="47"/>
        <v>0</v>
      </c>
    </row>
    <row r="764" spans="1:18" x14ac:dyDescent="0.2">
      <c r="A764" t="s">
        <v>14</v>
      </c>
      <c r="B764">
        <v>20240119</v>
      </c>
      <c r="C764">
        <v>101318.78</v>
      </c>
      <c r="D764">
        <v>101296.93</v>
      </c>
      <c r="E764">
        <v>1157</v>
      </c>
      <c r="F764">
        <v>1206</v>
      </c>
      <c r="G764" t="s">
        <v>775</v>
      </c>
      <c r="H764">
        <v>-21.850000000005799</v>
      </c>
      <c r="I764">
        <v>9</v>
      </c>
      <c r="J764" t="s">
        <v>15</v>
      </c>
      <c r="K764">
        <v>207.92</v>
      </c>
      <c r="L764">
        <v>208.66</v>
      </c>
      <c r="M764">
        <v>208.66</v>
      </c>
      <c r="N764">
        <v>208.89</v>
      </c>
      <c r="O764" s="1">
        <f t="shared" si="44"/>
        <v>3.5590611773759218E-3</v>
      </c>
      <c r="P764" s="1">
        <f t="shared" si="45"/>
        <v>0</v>
      </c>
      <c r="Q764" t="str">
        <f t="shared" si="46"/>
        <v>SELL</v>
      </c>
      <c r="R764">
        <f t="shared" si="47"/>
        <v>-21.850000000005799</v>
      </c>
    </row>
    <row r="765" spans="1:18" x14ac:dyDescent="0.2">
      <c r="A765" t="s">
        <v>14</v>
      </c>
      <c r="B765">
        <v>20240119</v>
      </c>
      <c r="C765">
        <v>101296.93</v>
      </c>
      <c r="D765">
        <v>101265.91</v>
      </c>
      <c r="E765">
        <v>1419</v>
      </c>
      <c r="F765">
        <v>1420</v>
      </c>
      <c r="G765" t="s">
        <v>776</v>
      </c>
      <c r="H765">
        <v>-31.019999999989501</v>
      </c>
      <c r="I765">
        <v>1</v>
      </c>
      <c r="J765" t="s">
        <v>16</v>
      </c>
      <c r="K765">
        <v>211.44</v>
      </c>
      <c r="L765">
        <v>211.84</v>
      </c>
      <c r="M765">
        <v>211.93</v>
      </c>
      <c r="N765">
        <v>211.51</v>
      </c>
      <c r="O765" s="1">
        <f t="shared" si="44"/>
        <v>1.8917896329928574E-3</v>
      </c>
      <c r="P765" s="1">
        <f t="shared" si="45"/>
        <v>4.2484894259819939E-4</v>
      </c>
      <c r="Q765" t="str">
        <f t="shared" si="46"/>
        <v>IDLE</v>
      </c>
      <c r="R765">
        <f t="shared" si="47"/>
        <v>0</v>
      </c>
    </row>
    <row r="766" spans="1:18" x14ac:dyDescent="0.2">
      <c r="A766" t="s">
        <v>14</v>
      </c>
      <c r="B766">
        <v>20240119</v>
      </c>
      <c r="C766">
        <v>101265.91</v>
      </c>
      <c r="D766">
        <v>101252.75</v>
      </c>
      <c r="E766">
        <v>1441</v>
      </c>
      <c r="F766">
        <v>1442</v>
      </c>
      <c r="G766" t="s">
        <v>777</v>
      </c>
      <c r="H766">
        <v>-13.1600000000034</v>
      </c>
      <c r="I766">
        <v>1</v>
      </c>
      <c r="J766" t="s">
        <v>16</v>
      </c>
      <c r="K766">
        <v>210.77</v>
      </c>
      <c r="L766">
        <v>211.65</v>
      </c>
      <c r="M766">
        <v>211.57</v>
      </c>
      <c r="N766">
        <v>211.51</v>
      </c>
      <c r="O766" s="1">
        <f t="shared" si="44"/>
        <v>4.175167243915201E-3</v>
      </c>
      <c r="P766" s="1">
        <f t="shared" si="45"/>
        <v>-3.7798251830856167E-4</v>
      </c>
      <c r="Q766" t="str">
        <f t="shared" si="46"/>
        <v>IDLE</v>
      </c>
      <c r="R766">
        <f t="shared" si="47"/>
        <v>0</v>
      </c>
    </row>
    <row r="767" spans="1:18" x14ac:dyDescent="0.2">
      <c r="A767" t="s">
        <v>14</v>
      </c>
      <c r="B767">
        <v>20240119</v>
      </c>
      <c r="C767">
        <v>101252.75</v>
      </c>
      <c r="D767">
        <v>101242.41</v>
      </c>
      <c r="E767">
        <v>1446</v>
      </c>
      <c r="F767">
        <v>1452</v>
      </c>
      <c r="G767" t="s">
        <v>778</v>
      </c>
      <c r="H767">
        <v>-10.3399999999965</v>
      </c>
      <c r="I767">
        <v>6</v>
      </c>
      <c r="J767" t="s">
        <v>16</v>
      </c>
      <c r="K767">
        <v>211.02</v>
      </c>
      <c r="L767">
        <v>211.88</v>
      </c>
      <c r="M767">
        <v>212.01</v>
      </c>
      <c r="N767">
        <v>211.77</v>
      </c>
      <c r="O767" s="1">
        <f t="shared" si="44"/>
        <v>4.075443085963304E-3</v>
      </c>
      <c r="P767" s="1">
        <f t="shared" si="45"/>
        <v>6.1355484236358393E-4</v>
      </c>
      <c r="Q767" t="str">
        <f t="shared" si="46"/>
        <v>IDLE</v>
      </c>
      <c r="R767">
        <f t="shared" si="47"/>
        <v>0</v>
      </c>
    </row>
    <row r="768" spans="1:18" x14ac:dyDescent="0.2">
      <c r="A768" t="s">
        <v>14</v>
      </c>
      <c r="B768">
        <v>20240119</v>
      </c>
      <c r="C768">
        <v>101242.41</v>
      </c>
      <c r="D768">
        <v>101251.81</v>
      </c>
      <c r="E768">
        <v>1456</v>
      </c>
      <c r="F768">
        <v>1511</v>
      </c>
      <c r="G768" t="s">
        <v>779</v>
      </c>
      <c r="H768">
        <v>9.3999999999941792</v>
      </c>
      <c r="I768">
        <v>15</v>
      </c>
      <c r="J768" t="s">
        <v>16</v>
      </c>
      <c r="K768">
        <v>211.7</v>
      </c>
      <c r="L768">
        <v>211.98</v>
      </c>
      <c r="M768">
        <v>212.17</v>
      </c>
      <c r="N768">
        <v>212.08</v>
      </c>
      <c r="O768" s="1">
        <f t="shared" si="44"/>
        <v>1.3226263580539133E-3</v>
      </c>
      <c r="P768" s="1">
        <f t="shared" si="45"/>
        <v>8.9631097273334959E-4</v>
      </c>
      <c r="Q768" t="str">
        <f t="shared" si="46"/>
        <v>IDLE</v>
      </c>
      <c r="R768">
        <f t="shared" si="47"/>
        <v>0</v>
      </c>
    </row>
    <row r="769" spans="1:18" x14ac:dyDescent="0.2">
      <c r="A769" t="s">
        <v>14</v>
      </c>
      <c r="B769">
        <v>20240122</v>
      </c>
      <c r="C769">
        <v>101251.81</v>
      </c>
      <c r="D769">
        <v>101238.79</v>
      </c>
      <c r="E769">
        <v>938</v>
      </c>
      <c r="F769">
        <v>941</v>
      </c>
      <c r="G769" t="s">
        <v>780</v>
      </c>
      <c r="H769">
        <v>-13.020000000004</v>
      </c>
      <c r="I769">
        <v>3</v>
      </c>
      <c r="J769" t="s">
        <v>16</v>
      </c>
      <c r="K769">
        <v>210.79</v>
      </c>
      <c r="L769">
        <v>212.85</v>
      </c>
      <c r="M769">
        <v>213.95</v>
      </c>
      <c r="N769">
        <v>212.71</v>
      </c>
      <c r="O769" s="1">
        <f t="shared" si="44"/>
        <v>9.7727596185777088E-3</v>
      </c>
      <c r="P769" s="1">
        <f t="shared" si="45"/>
        <v>5.1679586563306845E-3</v>
      </c>
      <c r="Q769" t="str">
        <f t="shared" si="46"/>
        <v>BUY</v>
      </c>
      <c r="R769">
        <f t="shared" si="47"/>
        <v>-13.020000000004</v>
      </c>
    </row>
    <row r="770" spans="1:18" x14ac:dyDescent="0.2">
      <c r="A770" t="s">
        <v>14</v>
      </c>
      <c r="B770">
        <v>20240122</v>
      </c>
      <c r="C770">
        <v>101238.79</v>
      </c>
      <c r="D770">
        <v>101552.75</v>
      </c>
      <c r="E770">
        <v>945</v>
      </c>
      <c r="F770">
        <v>957</v>
      </c>
      <c r="G770" t="s">
        <v>781</v>
      </c>
      <c r="H770">
        <v>313.960000000006</v>
      </c>
      <c r="I770">
        <v>12</v>
      </c>
      <c r="J770" t="s">
        <v>16</v>
      </c>
      <c r="K770">
        <v>212.16</v>
      </c>
      <c r="L770">
        <v>212.15</v>
      </c>
      <c r="M770">
        <v>213.16</v>
      </c>
      <c r="N770">
        <v>215.49</v>
      </c>
      <c r="O770" s="1">
        <f t="shared" si="44"/>
        <v>-4.7134238310708731E-5</v>
      </c>
      <c r="P770" s="1">
        <f t="shared" si="45"/>
        <v>4.7607824652369235E-3</v>
      </c>
      <c r="Q770" t="str">
        <f t="shared" si="46"/>
        <v>BUY</v>
      </c>
      <c r="R770">
        <f t="shared" si="47"/>
        <v>313.960000000006</v>
      </c>
    </row>
    <row r="771" spans="1:18" x14ac:dyDescent="0.2">
      <c r="A771" t="s">
        <v>14</v>
      </c>
      <c r="B771">
        <v>20240122</v>
      </c>
      <c r="C771">
        <v>101552.75</v>
      </c>
      <c r="D771">
        <v>101491.11</v>
      </c>
      <c r="E771">
        <v>1001</v>
      </c>
      <c r="F771">
        <v>1004</v>
      </c>
      <c r="G771" t="s">
        <v>782</v>
      </c>
      <c r="H771">
        <v>-61.639999999999397</v>
      </c>
      <c r="I771">
        <v>3</v>
      </c>
      <c r="J771" t="s">
        <v>16</v>
      </c>
      <c r="K771">
        <v>214.66</v>
      </c>
      <c r="L771">
        <v>217.36</v>
      </c>
      <c r="M771">
        <v>217.34</v>
      </c>
      <c r="N771">
        <v>216.69</v>
      </c>
      <c r="O771" s="1">
        <f t="shared" si="44"/>
        <v>1.2578030373614268E-2</v>
      </c>
      <c r="P771" s="1">
        <f t="shared" si="45"/>
        <v>-9.2013249908040606E-5</v>
      </c>
      <c r="Q771" t="str">
        <f t="shared" si="46"/>
        <v>IDLE</v>
      </c>
      <c r="R771">
        <f t="shared" si="47"/>
        <v>0</v>
      </c>
    </row>
    <row r="772" spans="1:18" x14ac:dyDescent="0.2">
      <c r="A772" t="s">
        <v>14</v>
      </c>
      <c r="B772">
        <v>20240122</v>
      </c>
      <c r="C772">
        <v>101491.11</v>
      </c>
      <c r="D772">
        <v>101459.83</v>
      </c>
      <c r="E772">
        <v>1008</v>
      </c>
      <c r="F772">
        <v>1009</v>
      </c>
      <c r="G772" t="s">
        <v>783</v>
      </c>
      <c r="H772">
        <v>-31.2799999999988</v>
      </c>
      <c r="I772">
        <v>1</v>
      </c>
      <c r="J772" t="s">
        <v>16</v>
      </c>
      <c r="K772">
        <v>216.52</v>
      </c>
      <c r="L772">
        <v>216.71</v>
      </c>
      <c r="M772">
        <v>217.5</v>
      </c>
      <c r="N772">
        <v>216.37</v>
      </c>
      <c r="O772" s="1">
        <f t="shared" ref="O772:O835" si="48">(L772/K772)-1</f>
        <v>8.7751708849070909E-4</v>
      </c>
      <c r="P772" s="1">
        <f t="shared" ref="P772:P835" si="49">(M772/L772)-1</f>
        <v>3.6454247612016655E-3</v>
      </c>
      <c r="Q772" t="str">
        <f t="shared" ref="Q772:Q815" si="50">IF(J772="SELL",IF(O772&gt;=$O$1,"SELL","IDLE"),IF(P772&gt;=$P$1,"BUY","IDLE"))</f>
        <v>IDLE</v>
      </c>
      <c r="R772">
        <f t="shared" ref="R772:R835" si="51">IF(Q772&lt;&gt;"IDLE",H772,0)</f>
        <v>0</v>
      </c>
    </row>
    <row r="773" spans="1:18" x14ac:dyDescent="0.2">
      <c r="A773" t="s">
        <v>14</v>
      </c>
      <c r="B773">
        <v>20240122</v>
      </c>
      <c r="C773">
        <v>101459.83</v>
      </c>
      <c r="D773">
        <v>101442.35</v>
      </c>
      <c r="E773">
        <v>1013</v>
      </c>
      <c r="F773">
        <v>1014</v>
      </c>
      <c r="G773" t="s">
        <v>784</v>
      </c>
      <c r="H773">
        <v>-17.479999999995901</v>
      </c>
      <c r="I773">
        <v>1</v>
      </c>
      <c r="J773" t="s">
        <v>16</v>
      </c>
      <c r="K773">
        <v>215.63</v>
      </c>
      <c r="L773">
        <v>215.5</v>
      </c>
      <c r="M773">
        <v>217.26</v>
      </c>
      <c r="N773">
        <v>215.31</v>
      </c>
      <c r="O773" s="1">
        <f t="shared" si="48"/>
        <v>-6.0288457079249458E-4</v>
      </c>
      <c r="P773" s="1">
        <f t="shared" si="49"/>
        <v>8.1670533642690391E-3</v>
      </c>
      <c r="Q773" t="str">
        <f t="shared" si="50"/>
        <v>BUY</v>
      </c>
      <c r="R773">
        <f t="shared" si="51"/>
        <v>-17.479999999995901</v>
      </c>
    </row>
    <row r="774" spans="1:18" x14ac:dyDescent="0.2">
      <c r="A774" t="s">
        <v>14</v>
      </c>
      <c r="B774">
        <v>20240122</v>
      </c>
      <c r="C774">
        <v>101442.35</v>
      </c>
      <c r="D774">
        <v>101658.55</v>
      </c>
      <c r="E774">
        <v>1034</v>
      </c>
      <c r="F774">
        <v>1050</v>
      </c>
      <c r="G774" t="s">
        <v>785</v>
      </c>
      <c r="H774">
        <v>216.199999999997</v>
      </c>
      <c r="I774">
        <v>16</v>
      </c>
      <c r="J774" t="s">
        <v>15</v>
      </c>
      <c r="K774">
        <v>211.59</v>
      </c>
      <c r="L774">
        <v>212.09</v>
      </c>
      <c r="M774">
        <v>214.28</v>
      </c>
      <c r="N774">
        <v>209.79</v>
      </c>
      <c r="O774" s="1">
        <f t="shared" si="48"/>
        <v>2.3630606361360051E-3</v>
      </c>
      <c r="P774" s="1">
        <f t="shared" si="49"/>
        <v>1.0325805082747941E-2</v>
      </c>
      <c r="Q774" t="str">
        <f t="shared" si="50"/>
        <v>SELL</v>
      </c>
      <c r="R774">
        <f t="shared" si="51"/>
        <v>216.199999999997</v>
      </c>
    </row>
    <row r="775" spans="1:18" x14ac:dyDescent="0.2">
      <c r="A775" t="s">
        <v>14</v>
      </c>
      <c r="B775">
        <v>20240122</v>
      </c>
      <c r="C775">
        <v>101658.55</v>
      </c>
      <c r="D775">
        <v>101633.85</v>
      </c>
      <c r="E775">
        <v>1054</v>
      </c>
      <c r="F775">
        <v>1056</v>
      </c>
      <c r="G775" t="s">
        <v>786</v>
      </c>
      <c r="H775">
        <v>-24.699999999997001</v>
      </c>
      <c r="I775">
        <v>2</v>
      </c>
      <c r="J775" t="s">
        <v>15</v>
      </c>
      <c r="K775">
        <v>209.16</v>
      </c>
      <c r="L775">
        <v>209.97</v>
      </c>
      <c r="M775">
        <v>210.13</v>
      </c>
      <c r="N775">
        <v>210.23</v>
      </c>
      <c r="O775" s="1">
        <f t="shared" si="48"/>
        <v>3.8726333907057597E-3</v>
      </c>
      <c r="P775" s="1">
        <f t="shared" si="49"/>
        <v>7.6201362099337366E-4</v>
      </c>
      <c r="Q775" t="str">
        <f t="shared" si="50"/>
        <v>SELL</v>
      </c>
      <c r="R775">
        <f t="shared" si="51"/>
        <v>-24.699999999997001</v>
      </c>
    </row>
    <row r="776" spans="1:18" x14ac:dyDescent="0.2">
      <c r="A776" t="s">
        <v>14</v>
      </c>
      <c r="B776">
        <v>20240122</v>
      </c>
      <c r="C776">
        <v>101633.85</v>
      </c>
      <c r="D776">
        <v>101631</v>
      </c>
      <c r="E776">
        <v>1100</v>
      </c>
      <c r="F776">
        <v>1112</v>
      </c>
      <c r="G776" t="s">
        <v>787</v>
      </c>
      <c r="H776">
        <v>-2.8500000000058199</v>
      </c>
      <c r="I776">
        <v>12</v>
      </c>
      <c r="J776" t="s">
        <v>15</v>
      </c>
      <c r="K776">
        <v>209.78</v>
      </c>
      <c r="L776">
        <v>210.03</v>
      </c>
      <c r="M776">
        <v>210.23</v>
      </c>
      <c r="N776">
        <v>210.06</v>
      </c>
      <c r="O776" s="1">
        <f t="shared" si="48"/>
        <v>1.1917246639336909E-3</v>
      </c>
      <c r="P776" s="1">
        <f t="shared" si="49"/>
        <v>9.5224491739265282E-4</v>
      </c>
      <c r="Q776" t="str">
        <f t="shared" si="50"/>
        <v>SELL</v>
      </c>
      <c r="R776">
        <f t="shared" si="51"/>
        <v>-2.8500000000058199</v>
      </c>
    </row>
    <row r="777" spans="1:18" x14ac:dyDescent="0.2">
      <c r="A777" t="s">
        <v>14</v>
      </c>
      <c r="B777">
        <v>20240122</v>
      </c>
      <c r="C777">
        <v>101631</v>
      </c>
      <c r="D777">
        <v>101627.2</v>
      </c>
      <c r="E777">
        <v>1127</v>
      </c>
      <c r="F777">
        <v>1135</v>
      </c>
      <c r="G777" t="s">
        <v>788</v>
      </c>
      <c r="H777">
        <v>-3.8000000000029099</v>
      </c>
      <c r="I777">
        <v>8</v>
      </c>
      <c r="J777" t="s">
        <v>15</v>
      </c>
      <c r="K777">
        <v>209.41</v>
      </c>
      <c r="L777">
        <v>209.24</v>
      </c>
      <c r="M777">
        <v>210.91</v>
      </c>
      <c r="N777">
        <v>209.28</v>
      </c>
      <c r="O777" s="1">
        <f t="shared" si="48"/>
        <v>-8.1180459385887804E-4</v>
      </c>
      <c r="P777" s="1">
        <f t="shared" si="49"/>
        <v>7.9812655324029702E-3</v>
      </c>
      <c r="Q777" t="str">
        <f t="shared" si="50"/>
        <v>IDLE</v>
      </c>
      <c r="R777">
        <f t="shared" si="51"/>
        <v>0</v>
      </c>
    </row>
    <row r="778" spans="1:18" x14ac:dyDescent="0.2">
      <c r="A778" t="s">
        <v>14</v>
      </c>
      <c r="B778">
        <v>20240122</v>
      </c>
      <c r="C778">
        <v>101627.2</v>
      </c>
      <c r="D778">
        <v>101611.05</v>
      </c>
      <c r="E778">
        <v>1139</v>
      </c>
      <c r="F778">
        <v>1140</v>
      </c>
      <c r="G778" t="s">
        <v>789</v>
      </c>
      <c r="H778">
        <v>-16.149999999994101</v>
      </c>
      <c r="I778">
        <v>1</v>
      </c>
      <c r="J778" t="s">
        <v>15</v>
      </c>
      <c r="K778">
        <v>208.7</v>
      </c>
      <c r="L778">
        <v>209.66</v>
      </c>
      <c r="M778">
        <v>209.62</v>
      </c>
      <c r="N778">
        <v>209.83</v>
      </c>
      <c r="O778" s="1">
        <f t="shared" si="48"/>
        <v>4.5999041686632935E-3</v>
      </c>
      <c r="P778" s="1">
        <f t="shared" si="49"/>
        <v>-1.9078508060665911E-4</v>
      </c>
      <c r="Q778" t="str">
        <f t="shared" si="50"/>
        <v>SELL</v>
      </c>
      <c r="R778">
        <f t="shared" si="51"/>
        <v>-16.149999999994101</v>
      </c>
    </row>
    <row r="779" spans="1:18" x14ac:dyDescent="0.2">
      <c r="A779" t="s">
        <v>14</v>
      </c>
      <c r="B779">
        <v>20240122</v>
      </c>
      <c r="C779">
        <v>101611.05</v>
      </c>
      <c r="D779">
        <v>101591.1</v>
      </c>
      <c r="E779">
        <v>1212</v>
      </c>
      <c r="F779">
        <v>1214</v>
      </c>
      <c r="G779" t="s">
        <v>790</v>
      </c>
      <c r="H779">
        <v>-19.949999999997001</v>
      </c>
      <c r="I779">
        <v>2</v>
      </c>
      <c r="J779" t="s">
        <v>15</v>
      </c>
      <c r="K779">
        <v>209.39</v>
      </c>
      <c r="L779">
        <v>209.51</v>
      </c>
      <c r="M779">
        <v>210.04</v>
      </c>
      <c r="N779">
        <v>209.72</v>
      </c>
      <c r="O779" s="1">
        <f t="shared" si="48"/>
        <v>5.7309327092980311E-4</v>
      </c>
      <c r="P779" s="1">
        <f t="shared" si="49"/>
        <v>2.5297121855758498E-3</v>
      </c>
      <c r="Q779" t="str">
        <f t="shared" si="50"/>
        <v>SELL</v>
      </c>
      <c r="R779">
        <f t="shared" si="51"/>
        <v>-19.949999999997001</v>
      </c>
    </row>
    <row r="780" spans="1:18" x14ac:dyDescent="0.2">
      <c r="A780" t="s">
        <v>14</v>
      </c>
      <c r="B780">
        <v>20240122</v>
      </c>
      <c r="C780">
        <v>101591.1</v>
      </c>
      <c r="D780">
        <v>101587.3</v>
      </c>
      <c r="E780">
        <v>1218</v>
      </c>
      <c r="F780">
        <v>1219</v>
      </c>
      <c r="G780" t="s">
        <v>791</v>
      </c>
      <c r="H780">
        <v>-3.8000000000029099</v>
      </c>
      <c r="I780">
        <v>1</v>
      </c>
      <c r="J780" t="s">
        <v>15</v>
      </c>
      <c r="K780">
        <v>209.11</v>
      </c>
      <c r="L780">
        <v>209.14</v>
      </c>
      <c r="M780">
        <v>209.78</v>
      </c>
      <c r="N780">
        <v>209.18</v>
      </c>
      <c r="O780" s="1">
        <f t="shared" si="48"/>
        <v>1.4346516187635494E-4</v>
      </c>
      <c r="P780" s="1">
        <f t="shared" si="49"/>
        <v>3.0601510949603838E-3</v>
      </c>
      <c r="Q780" t="str">
        <f t="shared" si="50"/>
        <v>SELL</v>
      </c>
      <c r="R780">
        <f t="shared" si="51"/>
        <v>-3.8000000000029099</v>
      </c>
    </row>
    <row r="781" spans="1:18" x14ac:dyDescent="0.2">
      <c r="A781" t="s">
        <v>14</v>
      </c>
      <c r="B781">
        <v>20240122</v>
      </c>
      <c r="C781">
        <v>101587.3</v>
      </c>
      <c r="D781">
        <v>101568.3</v>
      </c>
      <c r="E781">
        <v>1223</v>
      </c>
      <c r="F781">
        <v>1225</v>
      </c>
      <c r="G781" t="s">
        <v>792</v>
      </c>
      <c r="H781">
        <v>-19</v>
      </c>
      <c r="I781">
        <v>2</v>
      </c>
      <c r="J781" t="s">
        <v>15</v>
      </c>
      <c r="K781">
        <v>209</v>
      </c>
      <c r="L781">
        <v>209.77</v>
      </c>
      <c r="M781">
        <v>209.76</v>
      </c>
      <c r="N781">
        <v>209.97</v>
      </c>
      <c r="O781" s="1">
        <f t="shared" si="48"/>
        <v>3.6842105263157343E-3</v>
      </c>
      <c r="P781" s="1">
        <f t="shared" si="49"/>
        <v>-4.7671258998072119E-5</v>
      </c>
      <c r="Q781" t="str">
        <f t="shared" si="50"/>
        <v>SELL</v>
      </c>
      <c r="R781">
        <f t="shared" si="51"/>
        <v>-19</v>
      </c>
    </row>
    <row r="782" spans="1:18" x14ac:dyDescent="0.2">
      <c r="A782" t="s">
        <v>14</v>
      </c>
      <c r="B782">
        <v>20240122</v>
      </c>
      <c r="C782">
        <v>101568.3</v>
      </c>
      <c r="D782">
        <v>101707.95</v>
      </c>
      <c r="E782">
        <v>1246</v>
      </c>
      <c r="F782">
        <v>1338</v>
      </c>
      <c r="G782" t="s">
        <v>793</v>
      </c>
      <c r="H782">
        <v>139.64999999999401</v>
      </c>
      <c r="I782">
        <v>52</v>
      </c>
      <c r="J782" t="s">
        <v>15</v>
      </c>
      <c r="K782">
        <v>209.47</v>
      </c>
      <c r="L782">
        <v>209.63</v>
      </c>
      <c r="M782">
        <v>210.01</v>
      </c>
      <c r="N782">
        <v>208.16</v>
      </c>
      <c r="O782" s="1">
        <f t="shared" si="48"/>
        <v>7.638325297179005E-4</v>
      </c>
      <c r="P782" s="1">
        <f t="shared" si="49"/>
        <v>1.8127176453752725E-3</v>
      </c>
      <c r="Q782" t="str">
        <f t="shared" si="50"/>
        <v>SELL</v>
      </c>
      <c r="R782">
        <f t="shared" si="51"/>
        <v>139.64999999999401</v>
      </c>
    </row>
    <row r="783" spans="1:18" x14ac:dyDescent="0.2">
      <c r="A783" t="s">
        <v>14</v>
      </c>
      <c r="B783">
        <v>20240122</v>
      </c>
      <c r="C783">
        <v>101707.95</v>
      </c>
      <c r="D783">
        <v>101658.99</v>
      </c>
      <c r="E783">
        <v>1342</v>
      </c>
      <c r="F783">
        <v>1348</v>
      </c>
      <c r="G783" t="s">
        <v>794</v>
      </c>
      <c r="H783">
        <v>-48.959999999991801</v>
      </c>
      <c r="I783">
        <v>6</v>
      </c>
      <c r="J783" t="s">
        <v>15</v>
      </c>
      <c r="K783">
        <v>207.77</v>
      </c>
      <c r="L783">
        <v>208.11</v>
      </c>
      <c r="M783">
        <v>208.28</v>
      </c>
      <c r="N783">
        <v>208.62</v>
      </c>
      <c r="O783" s="1">
        <f t="shared" si="48"/>
        <v>1.636424892910382E-3</v>
      </c>
      <c r="P783" s="1">
        <f t="shared" si="49"/>
        <v>8.1687569074051503E-4</v>
      </c>
      <c r="Q783" t="str">
        <f t="shared" si="50"/>
        <v>SELL</v>
      </c>
      <c r="R783">
        <f t="shared" si="51"/>
        <v>-48.959999999991801</v>
      </c>
    </row>
    <row r="784" spans="1:18" x14ac:dyDescent="0.2">
      <c r="A784" t="s">
        <v>14</v>
      </c>
      <c r="B784">
        <v>20240122</v>
      </c>
      <c r="C784">
        <v>101658.99</v>
      </c>
      <c r="D784">
        <v>101680.11</v>
      </c>
      <c r="E784">
        <v>1414</v>
      </c>
      <c r="F784">
        <v>1428</v>
      </c>
      <c r="G784" t="s">
        <v>795</v>
      </c>
      <c r="H784">
        <v>21.119999999995301</v>
      </c>
      <c r="I784">
        <v>14</v>
      </c>
      <c r="J784" t="s">
        <v>15</v>
      </c>
      <c r="K784">
        <v>207.57</v>
      </c>
      <c r="L784">
        <v>207.2</v>
      </c>
      <c r="M784">
        <v>209.42</v>
      </c>
      <c r="N784">
        <v>206.98</v>
      </c>
      <c r="O784" s="1">
        <f t="shared" si="48"/>
        <v>-1.7825311942959443E-3</v>
      </c>
      <c r="P784" s="1">
        <f t="shared" si="49"/>
        <v>1.0714285714285676E-2</v>
      </c>
      <c r="Q784" t="str">
        <f t="shared" si="50"/>
        <v>IDLE</v>
      </c>
      <c r="R784">
        <f t="shared" si="51"/>
        <v>0</v>
      </c>
    </row>
    <row r="785" spans="1:18" x14ac:dyDescent="0.2">
      <c r="A785" t="s">
        <v>14</v>
      </c>
      <c r="B785">
        <v>20240122</v>
      </c>
      <c r="C785">
        <v>101680.11</v>
      </c>
      <c r="D785">
        <v>101653.23</v>
      </c>
      <c r="E785">
        <v>1432</v>
      </c>
      <c r="F785">
        <v>1436</v>
      </c>
      <c r="G785" t="s">
        <v>796</v>
      </c>
      <c r="H785">
        <v>-26.8800000000046</v>
      </c>
      <c r="I785">
        <v>4</v>
      </c>
      <c r="J785" t="s">
        <v>15</v>
      </c>
      <c r="K785">
        <v>206.66</v>
      </c>
      <c r="L785">
        <v>206.88</v>
      </c>
      <c r="M785">
        <v>207.04</v>
      </c>
      <c r="N785">
        <v>207.16</v>
      </c>
      <c r="O785" s="1">
        <f t="shared" si="48"/>
        <v>1.0645504693700403E-3</v>
      </c>
      <c r="P785" s="1">
        <f t="shared" si="49"/>
        <v>7.7339520494978942E-4</v>
      </c>
      <c r="Q785" t="str">
        <f t="shared" si="50"/>
        <v>SELL</v>
      </c>
      <c r="R785">
        <f t="shared" si="51"/>
        <v>-26.8800000000046</v>
      </c>
    </row>
    <row r="786" spans="1:18" x14ac:dyDescent="0.2">
      <c r="A786" t="s">
        <v>14</v>
      </c>
      <c r="B786">
        <v>20240122</v>
      </c>
      <c r="C786">
        <v>101653.23</v>
      </c>
      <c r="D786">
        <v>101645.55</v>
      </c>
      <c r="E786">
        <v>1440</v>
      </c>
      <c r="F786">
        <v>1442</v>
      </c>
      <c r="G786" t="s">
        <v>797</v>
      </c>
      <c r="H786">
        <v>-7.6799999999930098</v>
      </c>
      <c r="I786">
        <v>2</v>
      </c>
      <c r="J786" t="s">
        <v>15</v>
      </c>
      <c r="K786">
        <v>206.72</v>
      </c>
      <c r="L786">
        <v>207.38</v>
      </c>
      <c r="M786">
        <v>207.46</v>
      </c>
      <c r="N786">
        <v>207.46</v>
      </c>
      <c r="O786" s="1">
        <f t="shared" si="48"/>
        <v>3.192724458204399E-3</v>
      </c>
      <c r="P786" s="1">
        <f t="shared" si="49"/>
        <v>3.8576526183820015E-4</v>
      </c>
      <c r="Q786" t="str">
        <f t="shared" si="50"/>
        <v>SELL</v>
      </c>
      <c r="R786">
        <f t="shared" si="51"/>
        <v>-7.6799999999930098</v>
      </c>
    </row>
    <row r="787" spans="1:18" x14ac:dyDescent="0.2">
      <c r="A787" t="s">
        <v>14</v>
      </c>
      <c r="B787">
        <v>20240123</v>
      </c>
      <c r="C787">
        <v>101645.55</v>
      </c>
      <c r="D787">
        <v>101584.17</v>
      </c>
      <c r="E787">
        <v>933</v>
      </c>
      <c r="F787">
        <v>934</v>
      </c>
      <c r="G787" t="s">
        <v>798</v>
      </c>
      <c r="H787">
        <v>-61.3800000000046</v>
      </c>
      <c r="I787">
        <v>1</v>
      </c>
      <c r="J787" t="s">
        <v>16</v>
      </c>
      <c r="K787">
        <v>207.44</v>
      </c>
      <c r="L787">
        <v>213.02</v>
      </c>
      <c r="M787">
        <v>213.51</v>
      </c>
      <c r="N787">
        <v>212.36</v>
      </c>
      <c r="O787" s="1">
        <f t="shared" si="48"/>
        <v>2.6899344388738866E-2</v>
      </c>
      <c r="P787" s="1">
        <f t="shared" si="49"/>
        <v>2.3002534973242117E-3</v>
      </c>
      <c r="Q787" t="str">
        <f t="shared" si="50"/>
        <v>IDLE</v>
      </c>
      <c r="R787">
        <f t="shared" si="51"/>
        <v>0</v>
      </c>
    </row>
    <row r="788" spans="1:18" x14ac:dyDescent="0.2">
      <c r="A788" t="s">
        <v>14</v>
      </c>
      <c r="B788">
        <v>20240123</v>
      </c>
      <c r="C788">
        <v>101584.17</v>
      </c>
      <c r="D788">
        <v>101566.5</v>
      </c>
      <c r="E788">
        <v>938</v>
      </c>
      <c r="F788">
        <v>945</v>
      </c>
      <c r="G788" t="s">
        <v>799</v>
      </c>
      <c r="H788">
        <v>-17.6699999999982</v>
      </c>
      <c r="I788">
        <v>7</v>
      </c>
      <c r="J788" t="s">
        <v>16</v>
      </c>
      <c r="K788">
        <v>210.46</v>
      </c>
      <c r="L788">
        <v>214.71</v>
      </c>
      <c r="M788">
        <v>215.47</v>
      </c>
      <c r="N788">
        <v>214.52</v>
      </c>
      <c r="O788" s="1">
        <f t="shared" si="48"/>
        <v>2.0193861066235774E-2</v>
      </c>
      <c r="P788" s="1">
        <f t="shared" si="49"/>
        <v>3.5396581435425123E-3</v>
      </c>
      <c r="Q788" t="str">
        <f t="shared" si="50"/>
        <v>IDLE</v>
      </c>
      <c r="R788">
        <f t="shared" si="51"/>
        <v>0</v>
      </c>
    </row>
    <row r="789" spans="1:18" x14ac:dyDescent="0.2">
      <c r="A789" t="s">
        <v>14</v>
      </c>
      <c r="B789">
        <v>20240123</v>
      </c>
      <c r="C789">
        <v>101566.5</v>
      </c>
      <c r="D789">
        <v>101518.56</v>
      </c>
      <c r="E789">
        <v>1046</v>
      </c>
      <c r="F789">
        <v>1047</v>
      </c>
      <c r="G789" t="s">
        <v>800</v>
      </c>
      <c r="H789">
        <v>-47.9400000000023</v>
      </c>
      <c r="I789">
        <v>1</v>
      </c>
      <c r="J789" t="s">
        <v>15</v>
      </c>
      <c r="K789">
        <v>210.39</v>
      </c>
      <c r="L789">
        <v>210.61</v>
      </c>
      <c r="M789">
        <v>211.3</v>
      </c>
      <c r="N789">
        <v>211.12</v>
      </c>
      <c r="O789" s="1">
        <f t="shared" si="48"/>
        <v>1.045677075906859E-3</v>
      </c>
      <c r="P789" s="1">
        <f t="shared" si="49"/>
        <v>3.2761977114097451E-3</v>
      </c>
      <c r="Q789" t="str">
        <f t="shared" si="50"/>
        <v>SELL</v>
      </c>
      <c r="R789">
        <f t="shared" si="51"/>
        <v>-47.9400000000023</v>
      </c>
    </row>
    <row r="790" spans="1:18" x14ac:dyDescent="0.2">
      <c r="A790" t="s">
        <v>14</v>
      </c>
      <c r="B790">
        <v>20240123</v>
      </c>
      <c r="C790">
        <v>101518.56</v>
      </c>
      <c r="D790">
        <v>101502.58</v>
      </c>
      <c r="E790">
        <v>1051</v>
      </c>
      <c r="F790">
        <v>1057</v>
      </c>
      <c r="G790" t="s">
        <v>801</v>
      </c>
      <c r="H790">
        <v>-15.979999999995901</v>
      </c>
      <c r="I790">
        <v>6</v>
      </c>
      <c r="J790" t="s">
        <v>15</v>
      </c>
      <c r="K790">
        <v>210.48</v>
      </c>
      <c r="L790">
        <v>210.78</v>
      </c>
      <c r="M790">
        <v>211.25</v>
      </c>
      <c r="N790">
        <v>210.95</v>
      </c>
      <c r="O790" s="1">
        <f t="shared" si="48"/>
        <v>1.4253135689852314E-3</v>
      </c>
      <c r="P790" s="1">
        <f t="shared" si="49"/>
        <v>2.2298130752442802E-3</v>
      </c>
      <c r="Q790" t="str">
        <f t="shared" si="50"/>
        <v>SELL</v>
      </c>
      <c r="R790">
        <f t="shared" si="51"/>
        <v>-15.979999999995901</v>
      </c>
    </row>
    <row r="791" spans="1:18" x14ac:dyDescent="0.2">
      <c r="A791" t="s">
        <v>14</v>
      </c>
      <c r="B791">
        <v>20240123</v>
      </c>
      <c r="C791">
        <v>101502.58</v>
      </c>
      <c r="D791">
        <v>101568.13</v>
      </c>
      <c r="E791">
        <v>1115</v>
      </c>
      <c r="F791">
        <v>1138</v>
      </c>
      <c r="G791" t="s">
        <v>802</v>
      </c>
      <c r="H791">
        <v>65.550000000002896</v>
      </c>
      <c r="I791">
        <v>23</v>
      </c>
      <c r="J791" t="s">
        <v>15</v>
      </c>
      <c r="K791">
        <v>210.33</v>
      </c>
      <c r="L791">
        <v>210.29</v>
      </c>
      <c r="M791">
        <v>211.71</v>
      </c>
      <c r="N791">
        <v>209.6</v>
      </c>
      <c r="O791" s="1">
        <f t="shared" si="48"/>
        <v>-1.9017734036996803E-4</v>
      </c>
      <c r="P791" s="1">
        <f t="shared" si="49"/>
        <v>6.7525797707927993E-3</v>
      </c>
      <c r="Q791" t="str">
        <f t="shared" si="50"/>
        <v>IDLE</v>
      </c>
      <c r="R791">
        <f t="shared" si="51"/>
        <v>0</v>
      </c>
    </row>
    <row r="792" spans="1:18" x14ac:dyDescent="0.2">
      <c r="A792" t="s">
        <v>14</v>
      </c>
      <c r="B792">
        <v>20240123</v>
      </c>
      <c r="C792">
        <v>101568.13</v>
      </c>
      <c r="D792">
        <v>101552.93</v>
      </c>
      <c r="E792">
        <v>1142</v>
      </c>
      <c r="F792">
        <v>1143</v>
      </c>
      <c r="G792" t="s">
        <v>803</v>
      </c>
      <c r="H792">
        <v>-15.200000000011601</v>
      </c>
      <c r="I792">
        <v>1</v>
      </c>
      <c r="J792" t="s">
        <v>15</v>
      </c>
      <c r="K792">
        <v>209.05</v>
      </c>
      <c r="L792">
        <v>209.71</v>
      </c>
      <c r="M792">
        <v>209.72</v>
      </c>
      <c r="N792">
        <v>209.87</v>
      </c>
      <c r="O792" s="1">
        <f t="shared" si="48"/>
        <v>3.1571394403253628E-3</v>
      </c>
      <c r="P792" s="1">
        <f t="shared" si="49"/>
        <v>4.7684898192734693E-5</v>
      </c>
      <c r="Q792" t="str">
        <f t="shared" si="50"/>
        <v>SELL</v>
      </c>
      <c r="R792">
        <f t="shared" si="51"/>
        <v>-15.200000000011601</v>
      </c>
    </row>
    <row r="793" spans="1:18" x14ac:dyDescent="0.2">
      <c r="A793" t="s">
        <v>14</v>
      </c>
      <c r="B793">
        <v>20240123</v>
      </c>
      <c r="C793">
        <v>101552.93</v>
      </c>
      <c r="D793">
        <v>101551.98</v>
      </c>
      <c r="E793">
        <v>1219</v>
      </c>
      <c r="F793">
        <v>1238</v>
      </c>
      <c r="G793" t="s">
        <v>804</v>
      </c>
      <c r="H793">
        <v>-0.94999999999708895</v>
      </c>
      <c r="I793">
        <v>19</v>
      </c>
      <c r="J793" t="s">
        <v>15</v>
      </c>
      <c r="K793">
        <v>208.96</v>
      </c>
      <c r="L793">
        <v>209.12</v>
      </c>
      <c r="M793">
        <v>209.79</v>
      </c>
      <c r="N793">
        <v>209.13</v>
      </c>
      <c r="O793" s="1">
        <f t="shared" si="48"/>
        <v>7.6569678407345521E-4</v>
      </c>
      <c r="P793" s="1">
        <f t="shared" si="49"/>
        <v>3.2039020657994577E-3</v>
      </c>
      <c r="Q793" t="str">
        <f t="shared" si="50"/>
        <v>SELL</v>
      </c>
      <c r="R793">
        <f t="shared" si="51"/>
        <v>-0.94999999999708895</v>
      </c>
    </row>
    <row r="794" spans="1:18" x14ac:dyDescent="0.2">
      <c r="A794" t="s">
        <v>14</v>
      </c>
      <c r="B794">
        <v>20240123</v>
      </c>
      <c r="C794">
        <v>101551.98</v>
      </c>
      <c r="D794">
        <v>101519.67999999999</v>
      </c>
      <c r="E794">
        <v>1242</v>
      </c>
      <c r="F794">
        <v>1245</v>
      </c>
      <c r="G794" t="s">
        <v>805</v>
      </c>
      <c r="H794">
        <v>-32.300000000002903</v>
      </c>
      <c r="I794">
        <v>3</v>
      </c>
      <c r="J794" t="s">
        <v>15</v>
      </c>
      <c r="K794">
        <v>208.54</v>
      </c>
      <c r="L794">
        <v>208.63</v>
      </c>
      <c r="M794">
        <v>209.06</v>
      </c>
      <c r="N794">
        <v>208.97</v>
      </c>
      <c r="O794" s="1">
        <f t="shared" si="48"/>
        <v>4.3157188069442576E-4</v>
      </c>
      <c r="P794" s="1">
        <f t="shared" si="49"/>
        <v>2.0610650433783295E-3</v>
      </c>
      <c r="Q794" t="str">
        <f t="shared" si="50"/>
        <v>SELL</v>
      </c>
      <c r="R794">
        <f t="shared" si="51"/>
        <v>-32.300000000002903</v>
      </c>
    </row>
    <row r="795" spans="1:18" x14ac:dyDescent="0.2">
      <c r="A795" t="s">
        <v>14</v>
      </c>
      <c r="B795">
        <v>20240123</v>
      </c>
      <c r="C795">
        <v>101519.67999999999</v>
      </c>
      <c r="D795">
        <v>101500.68</v>
      </c>
      <c r="E795">
        <v>1249</v>
      </c>
      <c r="F795">
        <v>1250</v>
      </c>
      <c r="G795" t="s">
        <v>806</v>
      </c>
      <c r="H795">
        <v>-19</v>
      </c>
      <c r="I795">
        <v>1</v>
      </c>
      <c r="J795" t="s">
        <v>15</v>
      </c>
      <c r="K795">
        <v>208.61</v>
      </c>
      <c r="L795">
        <v>208.88</v>
      </c>
      <c r="M795">
        <v>208.98</v>
      </c>
      <c r="N795">
        <v>209.08</v>
      </c>
      <c r="O795" s="1">
        <f t="shared" si="48"/>
        <v>1.2942811945735322E-3</v>
      </c>
      <c r="P795" s="1">
        <f t="shared" si="49"/>
        <v>4.7874377633094767E-4</v>
      </c>
      <c r="Q795" t="str">
        <f t="shared" si="50"/>
        <v>SELL</v>
      </c>
      <c r="R795">
        <f t="shared" si="51"/>
        <v>-19</v>
      </c>
    </row>
    <row r="796" spans="1:18" x14ac:dyDescent="0.2">
      <c r="A796" t="s">
        <v>14</v>
      </c>
      <c r="B796">
        <v>20240123</v>
      </c>
      <c r="C796">
        <v>101500.68</v>
      </c>
      <c r="D796">
        <v>101546.28</v>
      </c>
      <c r="E796">
        <v>1316</v>
      </c>
      <c r="F796">
        <v>1343</v>
      </c>
      <c r="G796" t="s">
        <v>807</v>
      </c>
      <c r="H796">
        <v>45.600000000005799</v>
      </c>
      <c r="I796">
        <v>27</v>
      </c>
      <c r="J796" t="s">
        <v>15</v>
      </c>
      <c r="K796">
        <v>208.82</v>
      </c>
      <c r="L796">
        <v>208.95</v>
      </c>
      <c r="M796">
        <v>209.18</v>
      </c>
      <c r="N796">
        <v>208.47</v>
      </c>
      <c r="O796" s="1">
        <f t="shared" si="48"/>
        <v>6.225457331672235E-4</v>
      </c>
      <c r="P796" s="1">
        <f t="shared" si="49"/>
        <v>1.100741804259453E-3</v>
      </c>
      <c r="Q796" t="str">
        <f t="shared" si="50"/>
        <v>SELL</v>
      </c>
      <c r="R796">
        <f t="shared" si="51"/>
        <v>45.600000000005799</v>
      </c>
    </row>
    <row r="797" spans="1:18" x14ac:dyDescent="0.2">
      <c r="A797" t="s">
        <v>14</v>
      </c>
      <c r="B797">
        <v>20240123</v>
      </c>
      <c r="C797">
        <v>101546.28</v>
      </c>
      <c r="D797">
        <v>101530.13</v>
      </c>
      <c r="E797">
        <v>1347</v>
      </c>
      <c r="F797">
        <v>1348</v>
      </c>
      <c r="G797" t="s">
        <v>808</v>
      </c>
      <c r="H797">
        <v>-16.149999999994101</v>
      </c>
      <c r="I797">
        <v>1</v>
      </c>
      <c r="J797" t="s">
        <v>15</v>
      </c>
      <c r="K797">
        <v>207.9</v>
      </c>
      <c r="L797">
        <v>208.38</v>
      </c>
      <c r="M797">
        <v>208.53</v>
      </c>
      <c r="N797">
        <v>208.55</v>
      </c>
      <c r="O797" s="1">
        <f t="shared" si="48"/>
        <v>2.3088023088022602E-3</v>
      </c>
      <c r="P797" s="1">
        <f t="shared" si="49"/>
        <v>7.1983875611869585E-4</v>
      </c>
      <c r="Q797" t="str">
        <f t="shared" si="50"/>
        <v>SELL</v>
      </c>
      <c r="R797">
        <f t="shared" si="51"/>
        <v>-16.149999999994101</v>
      </c>
    </row>
    <row r="798" spans="1:18" x14ac:dyDescent="0.2">
      <c r="A798" t="s">
        <v>14</v>
      </c>
      <c r="B798">
        <v>20240123</v>
      </c>
      <c r="C798">
        <v>101530.13</v>
      </c>
      <c r="D798">
        <v>101516.83</v>
      </c>
      <c r="E798">
        <v>1433</v>
      </c>
      <c r="F798">
        <v>1435</v>
      </c>
      <c r="G798" t="s">
        <v>809</v>
      </c>
      <c r="H798">
        <v>-13.3000000000029</v>
      </c>
      <c r="I798">
        <v>2</v>
      </c>
      <c r="J798" t="s">
        <v>15</v>
      </c>
      <c r="K798">
        <v>208.43</v>
      </c>
      <c r="L798">
        <v>208.53</v>
      </c>
      <c r="M798">
        <v>208.81</v>
      </c>
      <c r="N798">
        <v>208.67</v>
      </c>
      <c r="O798" s="1">
        <f t="shared" si="48"/>
        <v>4.7977738329407771E-4</v>
      </c>
      <c r="P798" s="1">
        <f t="shared" si="49"/>
        <v>1.3427324605572721E-3</v>
      </c>
      <c r="Q798" t="str">
        <f t="shared" si="50"/>
        <v>SELL</v>
      </c>
      <c r="R798">
        <f t="shared" si="51"/>
        <v>-13.3000000000029</v>
      </c>
    </row>
    <row r="799" spans="1:18" x14ac:dyDescent="0.2">
      <c r="A799" t="s">
        <v>14</v>
      </c>
      <c r="B799">
        <v>20240123</v>
      </c>
      <c r="C799">
        <v>101516.83</v>
      </c>
      <c r="D799">
        <v>101481.68</v>
      </c>
      <c r="E799">
        <v>1439</v>
      </c>
      <c r="F799">
        <v>1501</v>
      </c>
      <c r="G799" t="s">
        <v>810</v>
      </c>
      <c r="H799">
        <v>-35.150000000008703</v>
      </c>
      <c r="I799">
        <v>22</v>
      </c>
      <c r="J799" t="s">
        <v>15</v>
      </c>
      <c r="K799">
        <v>208.41</v>
      </c>
      <c r="L799">
        <v>208.77</v>
      </c>
      <c r="M799">
        <v>208.88</v>
      </c>
      <c r="N799">
        <v>209.14</v>
      </c>
      <c r="O799" s="1">
        <f t="shared" si="48"/>
        <v>1.7273643299267061E-3</v>
      </c>
      <c r="P799" s="1">
        <f t="shared" si="49"/>
        <v>5.2689562676633273E-4</v>
      </c>
      <c r="Q799" t="str">
        <f t="shared" si="50"/>
        <v>SELL</v>
      </c>
      <c r="R799">
        <f t="shared" si="51"/>
        <v>-35.150000000008703</v>
      </c>
    </row>
    <row r="800" spans="1:18" x14ac:dyDescent="0.2">
      <c r="A800" t="s">
        <v>14</v>
      </c>
      <c r="B800">
        <v>20240123</v>
      </c>
      <c r="C800">
        <v>101481.68</v>
      </c>
      <c r="D800">
        <v>101472.18</v>
      </c>
      <c r="E800">
        <v>1543</v>
      </c>
      <c r="F800">
        <v>1544</v>
      </c>
      <c r="G800" t="s">
        <v>811</v>
      </c>
      <c r="H800">
        <v>-9.5</v>
      </c>
      <c r="I800">
        <v>1</v>
      </c>
      <c r="J800" t="s">
        <v>15</v>
      </c>
      <c r="K800">
        <v>208.48</v>
      </c>
      <c r="L800">
        <v>208.59</v>
      </c>
      <c r="M800">
        <v>209.04</v>
      </c>
      <c r="N800">
        <v>208.69</v>
      </c>
      <c r="O800" s="1">
        <f t="shared" si="48"/>
        <v>5.2762854950128002E-4</v>
      </c>
      <c r="P800" s="1">
        <f t="shared" si="49"/>
        <v>2.1573421544656135E-3</v>
      </c>
      <c r="Q800" t="str">
        <f t="shared" si="50"/>
        <v>SELL</v>
      </c>
      <c r="R800">
        <f t="shared" si="51"/>
        <v>-9.5</v>
      </c>
    </row>
    <row r="801" spans="1:18" x14ac:dyDescent="0.2">
      <c r="A801" t="s">
        <v>14</v>
      </c>
      <c r="B801">
        <v>20240123</v>
      </c>
      <c r="C801">
        <v>101472.18</v>
      </c>
      <c r="D801">
        <v>101457.93</v>
      </c>
      <c r="E801">
        <v>1548</v>
      </c>
      <c r="F801">
        <v>1550</v>
      </c>
      <c r="G801" t="s">
        <v>812</v>
      </c>
      <c r="H801">
        <v>-14.25</v>
      </c>
      <c r="I801">
        <v>2</v>
      </c>
      <c r="J801" t="s">
        <v>15</v>
      </c>
      <c r="K801">
        <v>208.44</v>
      </c>
      <c r="L801">
        <v>208.44</v>
      </c>
      <c r="M801">
        <v>208.7</v>
      </c>
      <c r="N801">
        <v>208.59</v>
      </c>
      <c r="O801" s="1">
        <f t="shared" si="48"/>
        <v>0</v>
      </c>
      <c r="P801" s="1">
        <f t="shared" si="49"/>
        <v>1.2473613509882409E-3</v>
      </c>
      <c r="Q801" t="str">
        <f t="shared" si="50"/>
        <v>IDLE</v>
      </c>
      <c r="R801">
        <f t="shared" si="51"/>
        <v>0</v>
      </c>
    </row>
    <row r="802" spans="1:18" x14ac:dyDescent="0.2">
      <c r="A802" t="s">
        <v>14</v>
      </c>
      <c r="B802">
        <v>20240124</v>
      </c>
      <c r="C802">
        <v>101457.93</v>
      </c>
      <c r="D802">
        <v>101406.23</v>
      </c>
      <c r="E802">
        <v>941</v>
      </c>
      <c r="F802">
        <v>942</v>
      </c>
      <c r="G802" t="s">
        <v>813</v>
      </c>
      <c r="H802">
        <v>-51.699999999996997</v>
      </c>
      <c r="I802">
        <v>1</v>
      </c>
      <c r="J802" t="s">
        <v>16</v>
      </c>
      <c r="K802">
        <v>209.99</v>
      </c>
      <c r="L802">
        <v>211.69</v>
      </c>
      <c r="M802">
        <v>212.03</v>
      </c>
      <c r="N802">
        <v>211.14</v>
      </c>
      <c r="O802" s="1">
        <f t="shared" si="48"/>
        <v>8.0956236011238136E-3</v>
      </c>
      <c r="P802" s="1">
        <f t="shared" si="49"/>
        <v>1.606122159761858E-3</v>
      </c>
      <c r="Q802" t="str">
        <f t="shared" si="50"/>
        <v>IDLE</v>
      </c>
      <c r="R802">
        <f t="shared" si="51"/>
        <v>0</v>
      </c>
    </row>
    <row r="803" spans="1:18" x14ac:dyDescent="0.2">
      <c r="A803" t="s">
        <v>14</v>
      </c>
      <c r="B803">
        <v>20240124</v>
      </c>
      <c r="C803">
        <v>101406.23</v>
      </c>
      <c r="D803">
        <v>101347.01</v>
      </c>
      <c r="E803">
        <v>946</v>
      </c>
      <c r="F803">
        <v>947</v>
      </c>
      <c r="G803" t="s">
        <v>814</v>
      </c>
      <c r="H803">
        <v>-59.2200000000011</v>
      </c>
      <c r="I803">
        <v>1</v>
      </c>
      <c r="J803" t="s">
        <v>16</v>
      </c>
      <c r="K803">
        <v>210.46</v>
      </c>
      <c r="L803">
        <v>210.86</v>
      </c>
      <c r="M803">
        <v>212</v>
      </c>
      <c r="N803">
        <v>210.23</v>
      </c>
      <c r="O803" s="1">
        <f t="shared" si="48"/>
        <v>1.9005986885869408E-3</v>
      </c>
      <c r="P803" s="1">
        <f t="shared" si="49"/>
        <v>5.4064308071706257E-3</v>
      </c>
      <c r="Q803" t="str">
        <f t="shared" si="50"/>
        <v>BUY</v>
      </c>
      <c r="R803">
        <f t="shared" si="51"/>
        <v>-59.2200000000011</v>
      </c>
    </row>
    <row r="804" spans="1:18" x14ac:dyDescent="0.2">
      <c r="A804" t="s">
        <v>14</v>
      </c>
      <c r="B804">
        <v>20240124</v>
      </c>
      <c r="C804">
        <v>101347.01</v>
      </c>
      <c r="D804">
        <v>101307.53</v>
      </c>
      <c r="E804">
        <v>1056</v>
      </c>
      <c r="F804">
        <v>1059</v>
      </c>
      <c r="G804" t="s">
        <v>815</v>
      </c>
      <c r="H804">
        <v>-39.479999999995897</v>
      </c>
      <c r="I804">
        <v>3</v>
      </c>
      <c r="J804" t="s">
        <v>16</v>
      </c>
      <c r="K804">
        <v>211.34</v>
      </c>
      <c r="L804">
        <v>212.33</v>
      </c>
      <c r="M804">
        <v>212.32</v>
      </c>
      <c r="N804">
        <v>211.91</v>
      </c>
      <c r="O804" s="1">
        <f t="shared" si="48"/>
        <v>4.684394814043813E-3</v>
      </c>
      <c r="P804" s="1">
        <f t="shared" si="49"/>
        <v>-4.709650073009275E-5</v>
      </c>
      <c r="Q804" t="str">
        <f t="shared" si="50"/>
        <v>IDLE</v>
      </c>
      <c r="R804">
        <f t="shared" si="51"/>
        <v>0</v>
      </c>
    </row>
    <row r="805" spans="1:18" x14ac:dyDescent="0.2">
      <c r="A805" t="s">
        <v>14</v>
      </c>
      <c r="B805">
        <v>20240124</v>
      </c>
      <c r="C805">
        <v>101307.53</v>
      </c>
      <c r="D805">
        <v>101252.07</v>
      </c>
      <c r="E805">
        <v>1103</v>
      </c>
      <c r="F805">
        <v>1105</v>
      </c>
      <c r="G805" t="s">
        <v>816</v>
      </c>
      <c r="H805">
        <v>-55.459999999991801</v>
      </c>
      <c r="I805">
        <v>2</v>
      </c>
      <c r="J805" t="s">
        <v>16</v>
      </c>
      <c r="K805">
        <v>211.74</v>
      </c>
      <c r="L805">
        <v>211.83</v>
      </c>
      <c r="M805">
        <v>212.36</v>
      </c>
      <c r="N805">
        <v>211.24</v>
      </c>
      <c r="O805" s="1">
        <f t="shared" si="48"/>
        <v>4.2504958911870894E-4</v>
      </c>
      <c r="P805" s="1">
        <f t="shared" si="49"/>
        <v>2.5020063258274217E-3</v>
      </c>
      <c r="Q805" t="str">
        <f t="shared" si="50"/>
        <v>IDLE</v>
      </c>
      <c r="R805">
        <f t="shared" si="51"/>
        <v>0</v>
      </c>
    </row>
    <row r="806" spans="1:18" x14ac:dyDescent="0.2">
      <c r="A806" t="s">
        <v>14</v>
      </c>
      <c r="B806">
        <v>20240124</v>
      </c>
      <c r="C806">
        <v>101252.07</v>
      </c>
      <c r="D806">
        <v>101236.09</v>
      </c>
      <c r="E806">
        <v>1150</v>
      </c>
      <c r="F806">
        <v>1212</v>
      </c>
      <c r="G806" t="s">
        <v>817</v>
      </c>
      <c r="H806">
        <v>-15.980000000010399</v>
      </c>
      <c r="I806">
        <v>22</v>
      </c>
      <c r="J806" t="s">
        <v>16</v>
      </c>
      <c r="K806">
        <v>210.01</v>
      </c>
      <c r="L806">
        <v>211.05</v>
      </c>
      <c r="M806">
        <v>210.99</v>
      </c>
      <c r="N806">
        <v>210.88</v>
      </c>
      <c r="O806" s="1">
        <f t="shared" si="48"/>
        <v>4.9521451359459956E-3</v>
      </c>
      <c r="P806" s="1">
        <f t="shared" si="49"/>
        <v>-2.842928216062468E-4</v>
      </c>
      <c r="Q806" t="str">
        <f t="shared" si="50"/>
        <v>IDLE</v>
      </c>
      <c r="R806">
        <f t="shared" si="51"/>
        <v>0</v>
      </c>
    </row>
    <row r="807" spans="1:18" x14ac:dyDescent="0.2">
      <c r="A807" t="s">
        <v>14</v>
      </c>
      <c r="B807">
        <v>20240124</v>
      </c>
      <c r="C807">
        <v>101236.09</v>
      </c>
      <c r="D807">
        <v>101221.99</v>
      </c>
      <c r="E807">
        <v>1226</v>
      </c>
      <c r="F807">
        <v>1236</v>
      </c>
      <c r="G807" t="s">
        <v>818</v>
      </c>
      <c r="H807">
        <v>-14.0999999999912</v>
      </c>
      <c r="I807">
        <v>10</v>
      </c>
      <c r="J807" t="s">
        <v>16</v>
      </c>
      <c r="K807">
        <v>210.53</v>
      </c>
      <c r="L807">
        <v>211.43</v>
      </c>
      <c r="M807">
        <v>211.44</v>
      </c>
      <c r="N807">
        <v>211.28</v>
      </c>
      <c r="O807" s="1">
        <f t="shared" si="48"/>
        <v>4.274925188809231E-3</v>
      </c>
      <c r="P807" s="1">
        <f t="shared" si="49"/>
        <v>4.7296977722988132E-5</v>
      </c>
      <c r="Q807" t="str">
        <f t="shared" si="50"/>
        <v>IDLE</v>
      </c>
      <c r="R807">
        <f t="shared" si="51"/>
        <v>0</v>
      </c>
    </row>
    <row r="808" spans="1:18" x14ac:dyDescent="0.2">
      <c r="A808" t="s">
        <v>14</v>
      </c>
      <c r="B808">
        <v>20240124</v>
      </c>
      <c r="C808">
        <v>101221.99</v>
      </c>
      <c r="D808">
        <v>101213.53</v>
      </c>
      <c r="E808">
        <v>1240</v>
      </c>
      <c r="F808">
        <v>1241</v>
      </c>
      <c r="G808" t="s">
        <v>819</v>
      </c>
      <c r="H808">
        <v>-8.4600000000063993</v>
      </c>
      <c r="I808">
        <v>1</v>
      </c>
      <c r="J808" t="s">
        <v>16</v>
      </c>
      <c r="K808">
        <v>211.3</v>
      </c>
      <c r="L808">
        <v>211.56</v>
      </c>
      <c r="M808">
        <v>211.69</v>
      </c>
      <c r="N808">
        <v>211.47</v>
      </c>
      <c r="O808" s="1">
        <f t="shared" si="48"/>
        <v>1.2304779933742793E-3</v>
      </c>
      <c r="P808" s="1">
        <f t="shared" si="49"/>
        <v>6.1448288901488901E-4</v>
      </c>
      <c r="Q808" t="str">
        <f t="shared" si="50"/>
        <v>IDLE</v>
      </c>
      <c r="R808">
        <f t="shared" si="51"/>
        <v>0</v>
      </c>
    </row>
    <row r="809" spans="1:18" x14ac:dyDescent="0.2">
      <c r="A809" t="s">
        <v>14</v>
      </c>
      <c r="B809">
        <v>20240124</v>
      </c>
      <c r="C809">
        <v>101213.53</v>
      </c>
      <c r="D809">
        <v>101174.05</v>
      </c>
      <c r="E809">
        <v>1245</v>
      </c>
      <c r="F809">
        <v>1251</v>
      </c>
      <c r="G809" t="s">
        <v>820</v>
      </c>
      <c r="H809">
        <v>-39.479999999995897</v>
      </c>
      <c r="I809">
        <v>6</v>
      </c>
      <c r="J809" t="s">
        <v>16</v>
      </c>
      <c r="K809">
        <v>211.32</v>
      </c>
      <c r="L809">
        <v>211.7</v>
      </c>
      <c r="M809">
        <v>211.71</v>
      </c>
      <c r="N809">
        <v>211.28</v>
      </c>
      <c r="O809" s="1">
        <f t="shared" si="48"/>
        <v>1.7982207079310086E-3</v>
      </c>
      <c r="P809" s="1">
        <f t="shared" si="49"/>
        <v>4.7236655644766756E-5</v>
      </c>
      <c r="Q809" t="str">
        <f t="shared" si="50"/>
        <v>IDLE</v>
      </c>
      <c r="R809">
        <f t="shared" si="51"/>
        <v>0</v>
      </c>
    </row>
    <row r="810" spans="1:18" x14ac:dyDescent="0.2">
      <c r="A810" t="s">
        <v>14</v>
      </c>
      <c r="B810">
        <v>20240124</v>
      </c>
      <c r="C810">
        <v>101174.05</v>
      </c>
      <c r="D810">
        <v>101161.7</v>
      </c>
      <c r="E810">
        <v>1418</v>
      </c>
      <c r="F810">
        <v>1420</v>
      </c>
      <c r="G810" t="s">
        <v>821</v>
      </c>
      <c r="H810">
        <v>-12.350000000005799</v>
      </c>
      <c r="I810">
        <v>2</v>
      </c>
      <c r="J810" t="s">
        <v>15</v>
      </c>
      <c r="K810">
        <v>208.59</v>
      </c>
      <c r="L810">
        <v>208.75</v>
      </c>
      <c r="M810">
        <v>209.34</v>
      </c>
      <c r="N810">
        <v>208.88</v>
      </c>
      <c r="O810" s="1">
        <f t="shared" si="48"/>
        <v>7.6705498825435647E-4</v>
      </c>
      <c r="P810" s="1">
        <f t="shared" si="49"/>
        <v>2.8263473053893318E-3</v>
      </c>
      <c r="Q810" t="str">
        <f t="shared" si="50"/>
        <v>SELL</v>
      </c>
      <c r="R810">
        <f t="shared" si="51"/>
        <v>-12.350000000005799</v>
      </c>
    </row>
    <row r="811" spans="1:18" x14ac:dyDescent="0.2">
      <c r="A811" t="s">
        <v>14</v>
      </c>
      <c r="B811">
        <v>20240124</v>
      </c>
      <c r="C811">
        <v>101161.7</v>
      </c>
      <c r="D811">
        <v>101140.58</v>
      </c>
      <c r="E811">
        <v>1424</v>
      </c>
      <c r="F811">
        <v>1425</v>
      </c>
      <c r="G811" t="s">
        <v>822</v>
      </c>
      <c r="H811">
        <v>-21.119999999995301</v>
      </c>
      <c r="I811">
        <v>1</v>
      </c>
      <c r="J811" t="s">
        <v>15</v>
      </c>
      <c r="K811">
        <v>208.28</v>
      </c>
      <c r="L811">
        <v>208.23</v>
      </c>
      <c r="M811">
        <v>209.02</v>
      </c>
      <c r="N811">
        <v>208.45</v>
      </c>
      <c r="O811" s="1">
        <f t="shared" si="48"/>
        <v>-2.4006145573274296E-4</v>
      </c>
      <c r="P811" s="1">
        <f t="shared" si="49"/>
        <v>3.7938817653557777E-3</v>
      </c>
      <c r="Q811" t="str">
        <f t="shared" si="50"/>
        <v>IDLE</v>
      </c>
      <c r="R811">
        <f t="shared" si="51"/>
        <v>0</v>
      </c>
    </row>
    <row r="812" spans="1:18" x14ac:dyDescent="0.2">
      <c r="A812" t="s">
        <v>14</v>
      </c>
      <c r="B812">
        <v>20240124</v>
      </c>
      <c r="C812">
        <v>101140.58</v>
      </c>
      <c r="D812">
        <v>101108.28</v>
      </c>
      <c r="E812">
        <v>1429</v>
      </c>
      <c r="F812">
        <v>1430</v>
      </c>
      <c r="G812" t="s">
        <v>823</v>
      </c>
      <c r="H812">
        <v>-32.300000000002903</v>
      </c>
      <c r="I812">
        <v>1</v>
      </c>
      <c r="J812" t="s">
        <v>15</v>
      </c>
      <c r="K812">
        <v>208.22</v>
      </c>
      <c r="L812">
        <v>208.45</v>
      </c>
      <c r="M812">
        <v>208.8</v>
      </c>
      <c r="N812">
        <v>208.79</v>
      </c>
      <c r="O812" s="1">
        <f t="shared" si="48"/>
        <v>1.1046009028912174E-3</v>
      </c>
      <c r="P812" s="1">
        <f t="shared" si="49"/>
        <v>1.6790597265532448E-3</v>
      </c>
      <c r="Q812" t="str">
        <f t="shared" si="50"/>
        <v>SELL</v>
      </c>
      <c r="R812">
        <f t="shared" si="51"/>
        <v>-32.300000000002903</v>
      </c>
    </row>
    <row r="813" spans="1:18" x14ac:dyDescent="0.2">
      <c r="A813" t="s">
        <v>14</v>
      </c>
      <c r="B813">
        <v>20240124</v>
      </c>
      <c r="C813">
        <v>101108.28</v>
      </c>
      <c r="D813">
        <v>101088.33</v>
      </c>
      <c r="E813">
        <v>1434</v>
      </c>
      <c r="F813">
        <v>1438</v>
      </c>
      <c r="G813" t="s">
        <v>824</v>
      </c>
      <c r="H813">
        <v>-19.949999999997001</v>
      </c>
      <c r="I813">
        <v>4</v>
      </c>
      <c r="J813" t="s">
        <v>15</v>
      </c>
      <c r="K813">
        <v>208.42</v>
      </c>
      <c r="L813">
        <v>208.58</v>
      </c>
      <c r="M813">
        <v>208.8</v>
      </c>
      <c r="N813">
        <v>208.79</v>
      </c>
      <c r="O813" s="1">
        <f t="shared" si="48"/>
        <v>7.676806448517759E-4</v>
      </c>
      <c r="P813" s="1">
        <f t="shared" si="49"/>
        <v>1.0547511746092919E-3</v>
      </c>
      <c r="Q813" t="str">
        <f t="shared" si="50"/>
        <v>SELL</v>
      </c>
      <c r="R813">
        <f t="shared" si="51"/>
        <v>-19.949999999997001</v>
      </c>
    </row>
    <row r="814" spans="1:18" x14ac:dyDescent="0.2">
      <c r="A814" t="s">
        <v>14</v>
      </c>
      <c r="B814">
        <v>20240124</v>
      </c>
      <c r="C814">
        <v>101088.33</v>
      </c>
      <c r="D814">
        <v>101076.93</v>
      </c>
      <c r="E814">
        <v>1457</v>
      </c>
      <c r="F814">
        <v>1503</v>
      </c>
      <c r="G814" t="s">
        <v>825</v>
      </c>
      <c r="H814">
        <v>-11.400000000008699</v>
      </c>
      <c r="I814">
        <v>6</v>
      </c>
      <c r="J814" t="s">
        <v>15</v>
      </c>
      <c r="K814">
        <v>208.76</v>
      </c>
      <c r="L814">
        <v>208.78</v>
      </c>
      <c r="M814">
        <v>209.4</v>
      </c>
      <c r="N814">
        <v>208.9</v>
      </c>
      <c r="O814" s="1">
        <f t="shared" si="48"/>
        <v>9.5803793830340211E-5</v>
      </c>
      <c r="P814" s="1">
        <f t="shared" si="49"/>
        <v>2.9696331066193515E-3</v>
      </c>
      <c r="Q814" t="str">
        <f t="shared" si="50"/>
        <v>IDLE</v>
      </c>
      <c r="R814">
        <f t="shared" si="51"/>
        <v>0</v>
      </c>
    </row>
    <row r="815" spans="1:18" x14ac:dyDescent="0.2">
      <c r="A815" t="s">
        <v>14</v>
      </c>
      <c r="B815">
        <v>20240124</v>
      </c>
      <c r="C815">
        <v>101076.93</v>
      </c>
      <c r="D815">
        <v>101149.89</v>
      </c>
      <c r="E815">
        <v>1514</v>
      </c>
      <c r="F815">
        <v>1532</v>
      </c>
      <c r="G815" t="s">
        <v>826</v>
      </c>
      <c r="H815">
        <v>72.960000000006403</v>
      </c>
      <c r="I815">
        <v>18</v>
      </c>
      <c r="J815" t="s">
        <v>15</v>
      </c>
      <c r="K815">
        <v>208.41</v>
      </c>
      <c r="L815">
        <v>208.23</v>
      </c>
      <c r="M815">
        <v>209.36</v>
      </c>
      <c r="N815">
        <v>207.47</v>
      </c>
      <c r="O815" s="1">
        <f t="shared" si="48"/>
        <v>-8.6368216496335304E-4</v>
      </c>
      <c r="P815" s="1">
        <f t="shared" si="49"/>
        <v>5.4266916390530717E-3</v>
      </c>
      <c r="Q815" t="str">
        <f t="shared" si="50"/>
        <v>IDLE</v>
      </c>
      <c r="R815">
        <f t="shared" si="51"/>
        <v>0</v>
      </c>
    </row>
  </sheetData>
  <conditionalFormatting sqref="H3:H853">
    <cfRule type="cellIs" dxfId="4" priority="5" operator="greaterThanOrEqual">
      <formula>0</formula>
    </cfRule>
    <cfRule type="cellIs" dxfId="3" priority="6" operator="lessThan">
      <formula>0</formula>
    </cfRule>
  </conditionalFormatting>
  <conditionalFormatting sqref="Q3:Q853">
    <cfRule type="notContainsText" dxfId="2" priority="4" operator="notContains" text="IDLE">
      <formula>ISERROR(SEARCH("IDLE",Q3))</formula>
    </cfRule>
  </conditionalFormatting>
  <conditionalFormatting sqref="R3:R85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16"/>
  <sheetViews>
    <sheetView workbookViewId="0">
      <selection activeCell="D10" sqref="D10"/>
    </sheetView>
  </sheetViews>
  <sheetFormatPr baseColWidth="10" defaultRowHeight="16" x14ac:dyDescent="0.2"/>
  <cols>
    <col min="2" max="2" width="10.83203125" style="4"/>
    <col min="5" max="5" width="10.83203125" style="4"/>
    <col min="6" max="6" width="12.5" bestFit="1" customWidth="1"/>
    <col min="7" max="7" width="12.5" customWidth="1"/>
    <col min="8" max="8" width="12.5" style="6" customWidth="1"/>
    <col min="9" max="9" width="10.83203125" style="4"/>
  </cols>
  <sheetData>
    <row r="7" spans="2:9" x14ac:dyDescent="0.2">
      <c r="B7" s="4" t="s">
        <v>835</v>
      </c>
      <c r="D7" t="s">
        <v>832</v>
      </c>
      <c r="E7" s="4" t="s">
        <v>833</v>
      </c>
      <c r="F7" t="s">
        <v>836</v>
      </c>
      <c r="G7" t="s">
        <v>839</v>
      </c>
      <c r="H7" s="6" t="s">
        <v>838</v>
      </c>
      <c r="I7" s="4" t="s">
        <v>837</v>
      </c>
    </row>
    <row r="8" spans="2:9" x14ac:dyDescent="0.2">
      <c r="B8" s="4">
        <v>60</v>
      </c>
      <c r="C8" t="s">
        <v>831</v>
      </c>
      <c r="D8">
        <v>600</v>
      </c>
      <c r="E8" s="4">
        <v>169.62</v>
      </c>
      <c r="F8" s="5">
        <f>D8*E8</f>
        <v>101772</v>
      </c>
      <c r="G8" s="5">
        <f>F8</f>
        <v>101772</v>
      </c>
      <c r="H8" s="6">
        <f>D8</f>
        <v>600</v>
      </c>
      <c r="I8" s="4">
        <f>E8</f>
        <v>169.62</v>
      </c>
    </row>
    <row r="9" spans="2:9" x14ac:dyDescent="0.2">
      <c r="D9">
        <v>1200</v>
      </c>
      <c r="E9" s="4">
        <v>60</v>
      </c>
      <c r="F9" s="5">
        <f t="shared" ref="F9:F12" si="0">D9*E9</f>
        <v>72000</v>
      </c>
      <c r="G9" s="5">
        <f>G8+F9</f>
        <v>173772</v>
      </c>
      <c r="H9" s="6">
        <f>H8+D9</f>
        <v>1800</v>
      </c>
      <c r="I9" s="4">
        <f>G9/H9</f>
        <v>96.54</v>
      </c>
    </row>
    <row r="10" spans="2:9" x14ac:dyDescent="0.2">
      <c r="F10" s="5">
        <f t="shared" si="0"/>
        <v>0</v>
      </c>
      <c r="G10" s="5"/>
    </row>
    <row r="11" spans="2:9" x14ac:dyDescent="0.2">
      <c r="F11" s="5">
        <f t="shared" si="0"/>
        <v>0</v>
      </c>
      <c r="G11" s="5"/>
    </row>
    <row r="12" spans="2:9" x14ac:dyDescent="0.2">
      <c r="F12" s="5">
        <f t="shared" si="0"/>
        <v>0</v>
      </c>
      <c r="G12" s="5"/>
    </row>
    <row r="15" spans="2:9" x14ac:dyDescent="0.2">
      <c r="B15" s="4">
        <v>94.79</v>
      </c>
      <c r="C15" t="s">
        <v>834</v>
      </c>
      <c r="D15">
        <v>600</v>
      </c>
      <c r="E15" s="4">
        <v>146.21</v>
      </c>
      <c r="F15" s="5">
        <f>D15*E15</f>
        <v>87726</v>
      </c>
      <c r="G15" s="5">
        <f>F15</f>
        <v>87726</v>
      </c>
      <c r="H15" s="6">
        <f>D15</f>
        <v>600</v>
      </c>
      <c r="I15" s="4">
        <f>E15</f>
        <v>146.21</v>
      </c>
    </row>
    <row r="16" spans="2:9" x14ac:dyDescent="0.2">
      <c r="D16">
        <v>1200</v>
      </c>
      <c r="E16" s="4">
        <v>94.79</v>
      </c>
      <c r="F16" s="5">
        <f t="shared" ref="F16" si="1">D16*E16</f>
        <v>113748.00000000001</v>
      </c>
      <c r="G16" s="5">
        <f>G15+F16</f>
        <v>201474</v>
      </c>
      <c r="H16" s="6">
        <f>H15+D16</f>
        <v>1800</v>
      </c>
      <c r="I16" s="4">
        <f>G16/H16</f>
        <v>111.93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allStocksByDay_20240124-222330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Bengoa</dc:creator>
  <cp:lastModifiedBy>David Bengoa</cp:lastModifiedBy>
  <dcterms:created xsi:type="dcterms:W3CDTF">2024-01-25T04:46:43Z</dcterms:created>
  <dcterms:modified xsi:type="dcterms:W3CDTF">2024-01-30T07:14:30Z</dcterms:modified>
</cp:coreProperties>
</file>